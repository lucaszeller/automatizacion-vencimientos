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425" firstSheet="4" activeTab="11"/>
  </bookViews>
  <sheets>
    <sheet name="ENERO" sheetId="13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2" r:id="rId12"/>
  </sheets>
  <definedNames>
    <definedName name="_xlnm._FilterDatabase" localSheetId="3" hidden="1">ABRIL!$A$3:$M$3</definedName>
    <definedName name="_xlnm._FilterDatabase" localSheetId="7" hidden="1">AGOSTO!$A$3:$M$33</definedName>
    <definedName name="_xlnm._FilterDatabase" localSheetId="6" hidden="1">JULIO!$A$2:$M$29</definedName>
    <definedName name="_xlnm._FilterDatabase" localSheetId="5" hidden="1">JUNIO!$A$2:$L$23</definedName>
    <definedName name="_xlnm._FilterDatabase" localSheetId="2" hidden="1">MARZO!$A$3:$N$25</definedName>
    <definedName name="_xlnm._FilterDatabase" localSheetId="4" hidden="1">MAYO!$A$3:$M$19</definedName>
    <definedName name="_xlnm._FilterDatabase" localSheetId="8" hidden="1">SEPTIEMBRE!$A$3:$M$23</definedName>
  </definedNames>
  <calcPr calcId="162913"/>
</workbook>
</file>

<file path=xl/calcChain.xml><?xml version="1.0" encoding="utf-8"?>
<calcChain xmlns="http://schemas.openxmlformats.org/spreadsheetml/2006/main">
  <c r="L12" i="8" l="1"/>
  <c r="L26" i="12"/>
  <c r="L27" i="12"/>
  <c r="L28" i="12"/>
  <c r="L29" i="12"/>
  <c r="M29" i="12" s="1"/>
  <c r="L30" i="12"/>
  <c r="M30" i="12" s="1"/>
  <c r="L31" i="12"/>
  <c r="L32" i="12"/>
  <c r="M32" i="12" s="1"/>
  <c r="L33" i="12"/>
  <c r="M33" i="12" s="1"/>
  <c r="M26" i="12"/>
  <c r="M27" i="12"/>
  <c r="M28" i="12"/>
  <c r="M31" i="12"/>
  <c r="L25" i="12"/>
  <c r="M24" i="12"/>
  <c r="M20" i="12"/>
  <c r="M17" i="12"/>
  <c r="M10" i="12" l="1"/>
  <c r="M28" i="10"/>
  <c r="M16" i="10"/>
  <c r="M4" i="9"/>
  <c r="M25" i="12" l="1"/>
  <c r="L24" i="12"/>
  <c r="L28" i="10" l="1"/>
  <c r="L27" i="10"/>
  <c r="M27" i="10" s="1"/>
  <c r="L26" i="10"/>
  <c r="M26" i="10" s="1"/>
  <c r="L25" i="10"/>
  <c r="M25" i="10" s="1"/>
  <c r="L24" i="10"/>
  <c r="M24" i="10" s="1"/>
  <c r="L5" i="3" l="1"/>
  <c r="M5" i="3" s="1"/>
  <c r="M32" i="4" l="1"/>
  <c r="M36" i="4"/>
  <c r="M37" i="4"/>
  <c r="L24" i="4"/>
  <c r="M24" i="4" s="1"/>
  <c r="L25" i="4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L33" i="4"/>
  <c r="M33" i="4" s="1"/>
  <c r="L34" i="4"/>
  <c r="M34" i="4" s="1"/>
  <c r="L35" i="4"/>
  <c r="M35" i="4" s="1"/>
  <c r="L36" i="4"/>
  <c r="L37" i="4"/>
  <c r="M26" i="2" l="1"/>
  <c r="M27" i="2"/>
  <c r="M28" i="2"/>
  <c r="L22" i="2"/>
  <c r="M22" i="2" s="1"/>
  <c r="L23" i="2"/>
  <c r="M23" i="2" s="1"/>
  <c r="L24" i="2"/>
  <c r="M24" i="2" s="1"/>
  <c r="L25" i="2"/>
  <c r="M25" i="2" s="1"/>
  <c r="L26" i="2"/>
  <c r="L27" i="2"/>
  <c r="L28" i="2"/>
  <c r="L21" i="2"/>
  <c r="L4" i="13"/>
  <c r="L26" i="11" l="1"/>
  <c r="M26" i="11" s="1"/>
  <c r="L23" i="10" l="1"/>
  <c r="M23" i="10" s="1"/>
  <c r="K25" i="5" l="1"/>
  <c r="L25" i="5" s="1"/>
  <c r="K26" i="5"/>
  <c r="L26" i="5"/>
  <c r="K27" i="5"/>
  <c r="L27" i="5"/>
  <c r="K28" i="5"/>
  <c r="L28" i="5"/>
  <c r="K20" i="5" l="1"/>
  <c r="L20" i="5" s="1"/>
  <c r="K21" i="5"/>
  <c r="L21" i="5" s="1"/>
  <c r="K22" i="5"/>
  <c r="L22" i="5" s="1"/>
  <c r="K23" i="5"/>
  <c r="L23" i="5"/>
  <c r="K24" i="5"/>
  <c r="L24" i="5" s="1"/>
  <c r="L4" i="4"/>
  <c r="L33" i="3" l="1"/>
  <c r="M33" i="3" s="1"/>
  <c r="L34" i="3"/>
  <c r="M34" i="3" s="1"/>
  <c r="L35" i="3"/>
  <c r="M35" i="3"/>
  <c r="L36" i="3"/>
  <c r="M36" i="3"/>
  <c r="L26" i="3" l="1"/>
  <c r="M26" i="3"/>
  <c r="L27" i="3"/>
  <c r="M27" i="3" s="1"/>
  <c r="L28" i="3"/>
  <c r="M28" i="3" s="1"/>
  <c r="L29" i="3"/>
  <c r="M29" i="3" s="1"/>
  <c r="L30" i="3"/>
  <c r="M30" i="3" s="1"/>
  <c r="L31" i="3"/>
  <c r="M31" i="3"/>
  <c r="L32" i="3"/>
  <c r="M32" i="3" s="1"/>
  <c r="L22" i="13" l="1"/>
  <c r="M22" i="13" s="1"/>
  <c r="L21" i="13"/>
  <c r="M21" i="13" s="1"/>
  <c r="L20" i="13"/>
  <c r="M20" i="13" s="1"/>
  <c r="L19" i="13"/>
  <c r="M19" i="13" s="1"/>
  <c r="L18" i="13"/>
  <c r="M18" i="13" s="1"/>
  <c r="L17" i="13"/>
  <c r="M17" i="13" s="1"/>
  <c r="L16" i="13"/>
  <c r="M16" i="13" s="1"/>
  <c r="L15" i="13"/>
  <c r="M15" i="13" s="1"/>
  <c r="L14" i="13"/>
  <c r="M14" i="13" s="1"/>
  <c r="L13" i="13"/>
  <c r="M13" i="13" s="1"/>
  <c r="L12" i="13"/>
  <c r="M12" i="13" s="1"/>
  <c r="L11" i="13"/>
  <c r="M11" i="13" s="1"/>
  <c r="L10" i="13"/>
  <c r="M10" i="13" s="1"/>
  <c r="L9" i="13"/>
  <c r="M9" i="13" s="1"/>
  <c r="L8" i="13"/>
  <c r="M8" i="13" s="1"/>
  <c r="L7" i="13"/>
  <c r="M7" i="13" s="1"/>
  <c r="L6" i="13"/>
  <c r="M6" i="13" s="1"/>
  <c r="L5" i="13"/>
  <c r="M5" i="13" s="1"/>
  <c r="M4" i="13"/>
  <c r="L23" i="12" l="1"/>
  <c r="M23" i="12" s="1"/>
  <c r="L22" i="12"/>
  <c r="M22" i="12" s="1"/>
  <c r="L21" i="12"/>
  <c r="M21" i="12" s="1"/>
  <c r="L20" i="12"/>
  <c r="L19" i="12"/>
  <c r="M19" i="12" s="1"/>
  <c r="L18" i="12"/>
  <c r="M18" i="12" s="1"/>
  <c r="L17" i="12"/>
  <c r="L16" i="12"/>
  <c r="M16" i="12" s="1"/>
  <c r="L15" i="12"/>
  <c r="M15" i="12" s="1"/>
  <c r="L14" i="12"/>
  <c r="M14" i="12" s="1"/>
  <c r="L13" i="12"/>
  <c r="M13" i="12" s="1"/>
  <c r="L12" i="12"/>
  <c r="M12" i="12" s="1"/>
  <c r="L11" i="12"/>
  <c r="M11" i="12" s="1"/>
  <c r="L10" i="12"/>
  <c r="L9" i="12"/>
  <c r="M9" i="12" s="1"/>
  <c r="L8" i="12"/>
  <c r="M8" i="12" s="1"/>
  <c r="L7" i="12"/>
  <c r="M7" i="12" s="1"/>
  <c r="L6" i="12"/>
  <c r="M6" i="12" s="1"/>
  <c r="L5" i="12"/>
  <c r="M5" i="12" s="1"/>
  <c r="L4" i="12"/>
  <c r="M4" i="12" s="1"/>
  <c r="L3" i="12"/>
  <c r="M3" i="12" s="1"/>
  <c r="L21" i="11" l="1"/>
  <c r="M21" i="11" s="1"/>
  <c r="L22" i="11"/>
  <c r="M22" i="11" s="1"/>
  <c r="L23" i="11"/>
  <c r="M23" i="11" s="1"/>
  <c r="L24" i="11"/>
  <c r="M24" i="11" s="1"/>
  <c r="L25" i="11"/>
  <c r="M25" i="11" s="1"/>
  <c r="L20" i="11" l="1"/>
  <c r="M20" i="11" s="1"/>
  <c r="L19" i="11"/>
  <c r="M19" i="11" s="1"/>
  <c r="L18" i="11"/>
  <c r="M18" i="11" s="1"/>
  <c r="L17" i="11"/>
  <c r="M17" i="11" s="1"/>
  <c r="L16" i="11"/>
  <c r="M16" i="11" s="1"/>
  <c r="L15" i="11"/>
  <c r="M15" i="11" s="1"/>
  <c r="L14" i="11"/>
  <c r="M14" i="11" s="1"/>
  <c r="L13" i="11"/>
  <c r="M13" i="11" s="1"/>
  <c r="L12" i="11"/>
  <c r="M12" i="11" s="1"/>
  <c r="L11" i="11"/>
  <c r="M11" i="11" s="1"/>
  <c r="L10" i="11"/>
  <c r="M10" i="11" s="1"/>
  <c r="L9" i="11"/>
  <c r="M9" i="11" s="1"/>
  <c r="L8" i="11"/>
  <c r="M8" i="11" s="1"/>
  <c r="L7" i="11"/>
  <c r="M7" i="11" s="1"/>
  <c r="L6" i="11"/>
  <c r="M6" i="11" s="1"/>
  <c r="L5" i="11"/>
  <c r="M5" i="11" s="1"/>
  <c r="L4" i="11"/>
  <c r="M4" i="11" s="1"/>
  <c r="L3" i="11"/>
  <c r="M3" i="11" s="1"/>
  <c r="L20" i="10" l="1"/>
  <c r="M20" i="10" s="1"/>
  <c r="L21" i="10"/>
  <c r="M21" i="10" s="1"/>
  <c r="L22" i="10"/>
  <c r="M22" i="10" s="1"/>
  <c r="L19" i="10" l="1"/>
  <c r="M19" i="10" s="1"/>
  <c r="L18" i="10"/>
  <c r="M18" i="10" s="1"/>
  <c r="L17" i="10"/>
  <c r="M17" i="10" s="1"/>
  <c r="L16" i="10"/>
  <c r="L15" i="10"/>
  <c r="M15" i="10" s="1"/>
  <c r="L14" i="10"/>
  <c r="M14" i="10" s="1"/>
  <c r="L13" i="10"/>
  <c r="M13" i="10" s="1"/>
  <c r="L12" i="10"/>
  <c r="M12" i="10" s="1"/>
  <c r="L11" i="10"/>
  <c r="M11" i="10" s="1"/>
  <c r="L10" i="10"/>
  <c r="M10" i="10" s="1"/>
  <c r="L9" i="10"/>
  <c r="M9" i="10" s="1"/>
  <c r="L8" i="10"/>
  <c r="M8" i="10" s="1"/>
  <c r="L7" i="10"/>
  <c r="M7" i="10" s="1"/>
  <c r="L6" i="10"/>
  <c r="M6" i="10" s="1"/>
  <c r="L5" i="10"/>
  <c r="M5" i="10" s="1"/>
  <c r="L4" i="10"/>
  <c r="M4" i="10" s="1"/>
  <c r="L3" i="10"/>
  <c r="M3" i="10" s="1"/>
  <c r="L15" i="2" l="1"/>
  <c r="M15" i="2" s="1"/>
  <c r="M21" i="2"/>
  <c r="L20" i="2"/>
  <c r="M20" i="2" s="1"/>
  <c r="L19" i="2"/>
  <c r="M19" i="2" s="1"/>
  <c r="L18" i="2"/>
  <c r="M18" i="2" s="1"/>
  <c r="L17" i="2"/>
  <c r="M17" i="2" s="1"/>
  <c r="L16" i="2"/>
  <c r="M16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4" i="3"/>
  <c r="M4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23" i="4"/>
  <c r="M23" i="4" s="1"/>
  <c r="L22" i="4"/>
  <c r="M22" i="4" s="1"/>
  <c r="L21" i="4"/>
  <c r="M21" i="4" s="1"/>
  <c r="L20" i="4"/>
  <c r="M20" i="4" s="1"/>
  <c r="L19" i="4"/>
  <c r="M19" i="4" s="1"/>
  <c r="L18" i="4"/>
  <c r="M18" i="4" s="1"/>
  <c r="L17" i="4"/>
  <c r="M17" i="4" s="1"/>
  <c r="L16" i="4"/>
  <c r="M16" i="4" s="1"/>
  <c r="L15" i="4"/>
  <c r="M15" i="4" s="1"/>
  <c r="L14" i="4"/>
  <c r="M14" i="4" s="1"/>
  <c r="L13" i="4"/>
  <c r="M13" i="4" s="1"/>
  <c r="L12" i="4"/>
  <c r="M12" i="4" s="1"/>
  <c r="L11" i="4"/>
  <c r="M11" i="4" s="1"/>
  <c r="L10" i="4"/>
  <c r="M10" i="4" s="1"/>
  <c r="L9" i="4"/>
  <c r="M9" i="4" s="1"/>
  <c r="L8" i="4"/>
  <c r="M8" i="4" s="1"/>
  <c r="L7" i="4"/>
  <c r="M7" i="4" s="1"/>
  <c r="L6" i="4"/>
  <c r="M6" i="4" s="1"/>
  <c r="L5" i="4"/>
  <c r="M5" i="4" s="1"/>
  <c r="M4" i="4"/>
  <c r="L4" i="9" l="1"/>
  <c r="L23" i="9"/>
  <c r="M23" i="9" s="1"/>
  <c r="L22" i="9"/>
  <c r="M22" i="9" s="1"/>
  <c r="L21" i="9"/>
  <c r="M21" i="9" s="1"/>
  <c r="L20" i="9"/>
  <c r="M20" i="9" s="1"/>
  <c r="L19" i="9"/>
  <c r="M19" i="9" s="1"/>
  <c r="L18" i="9"/>
  <c r="M18" i="9" s="1"/>
  <c r="L17" i="9"/>
  <c r="M17" i="9" s="1"/>
  <c r="L16" i="9"/>
  <c r="M16" i="9" s="1"/>
  <c r="L15" i="9"/>
  <c r="M15" i="9" s="1"/>
  <c r="L14" i="9"/>
  <c r="M14" i="9" s="1"/>
  <c r="L13" i="9"/>
  <c r="M13" i="9" s="1"/>
  <c r="L12" i="9"/>
  <c r="M12" i="9" s="1"/>
  <c r="L11" i="9"/>
  <c r="M11" i="9" s="1"/>
  <c r="L10" i="9"/>
  <c r="M10" i="9" s="1"/>
  <c r="L9" i="9"/>
  <c r="M9" i="9" s="1"/>
  <c r="L8" i="9"/>
  <c r="M8" i="9" s="1"/>
  <c r="L7" i="9"/>
  <c r="M7" i="9" s="1"/>
  <c r="L6" i="9"/>
  <c r="M6" i="9" s="1"/>
  <c r="L5" i="9"/>
  <c r="M5" i="9" s="1"/>
  <c r="K19" i="5"/>
  <c r="L19" i="5" s="1"/>
  <c r="K18" i="5"/>
  <c r="L18" i="5" s="1"/>
  <c r="K17" i="5"/>
  <c r="L17" i="5" s="1"/>
  <c r="K16" i="5"/>
  <c r="L16" i="5" s="1"/>
  <c r="K15" i="5"/>
  <c r="L15" i="5" s="1"/>
  <c r="K14" i="5"/>
  <c r="L14" i="5" s="1"/>
  <c r="K13" i="5"/>
  <c r="L13" i="5" s="1"/>
  <c r="K12" i="5"/>
  <c r="L12" i="5" s="1"/>
  <c r="K11" i="5"/>
  <c r="L11" i="5" s="1"/>
  <c r="K10" i="5"/>
  <c r="L10" i="5" s="1"/>
  <c r="K9" i="5"/>
  <c r="L9" i="5" s="1"/>
  <c r="K8" i="5"/>
  <c r="L8" i="5" s="1"/>
  <c r="K7" i="5"/>
  <c r="L7" i="5" s="1"/>
  <c r="K6" i="5"/>
  <c r="L6" i="5" s="1"/>
  <c r="K5" i="5"/>
  <c r="L5" i="5" s="1"/>
  <c r="K4" i="5"/>
  <c r="L4" i="5" s="1"/>
  <c r="K26" i="8"/>
  <c r="L26" i="8" s="1"/>
  <c r="K27" i="8"/>
  <c r="L27" i="8" s="1"/>
  <c r="K28" i="8"/>
  <c r="L28" i="8" s="1"/>
  <c r="K29" i="8"/>
  <c r="L29" i="8" s="1"/>
  <c r="K30" i="8"/>
  <c r="L30" i="8" s="1"/>
  <c r="K31" i="8"/>
  <c r="L31" i="8" s="1"/>
  <c r="K32" i="8"/>
  <c r="L32" i="8" s="1"/>
  <c r="K33" i="8"/>
  <c r="L33" i="8" s="1"/>
  <c r="K25" i="8"/>
  <c r="L25" i="8" s="1"/>
  <c r="K24" i="8"/>
  <c r="L24" i="8" s="1"/>
  <c r="K23" i="8"/>
  <c r="L23" i="8" s="1"/>
  <c r="K22" i="8"/>
  <c r="L22" i="8" s="1"/>
  <c r="K21" i="8"/>
  <c r="L21" i="8" s="1"/>
  <c r="K20" i="8"/>
  <c r="L20" i="8" s="1"/>
  <c r="K19" i="8"/>
  <c r="L19" i="8" s="1"/>
  <c r="K18" i="8"/>
  <c r="L18" i="8" s="1"/>
  <c r="K17" i="8"/>
  <c r="L17" i="8" s="1"/>
  <c r="K16" i="8"/>
  <c r="L16" i="8" s="1"/>
  <c r="K15" i="8"/>
  <c r="L15" i="8" s="1"/>
  <c r="K14" i="8"/>
  <c r="L14" i="8" s="1"/>
  <c r="K13" i="8"/>
  <c r="L13" i="8" s="1"/>
  <c r="K12" i="8"/>
  <c r="K11" i="8"/>
  <c r="L11" i="8" s="1"/>
  <c r="K10" i="8"/>
  <c r="L10" i="8" s="1"/>
  <c r="K9" i="8"/>
  <c r="L9" i="8" s="1"/>
  <c r="K8" i="8"/>
  <c r="L8" i="8" s="1"/>
  <c r="K7" i="8"/>
  <c r="L7" i="8" s="1"/>
  <c r="K6" i="8"/>
  <c r="L6" i="8" s="1"/>
  <c r="K5" i="8"/>
  <c r="L5" i="8" s="1"/>
  <c r="K4" i="8"/>
  <c r="L4" i="8" s="1"/>
  <c r="K29" i="7"/>
  <c r="L29" i="7" s="1"/>
  <c r="K28" i="7"/>
  <c r="L28" i="7" s="1"/>
  <c r="K27" i="7"/>
  <c r="L27" i="7" s="1"/>
  <c r="K26" i="7"/>
  <c r="L26" i="7" s="1"/>
  <c r="K25" i="7"/>
  <c r="L25" i="7" s="1"/>
  <c r="K24" i="7"/>
  <c r="L24" i="7" s="1"/>
  <c r="K23" i="7"/>
  <c r="L23" i="7" s="1"/>
  <c r="K22" i="7"/>
  <c r="L22" i="7" s="1"/>
  <c r="K21" i="7"/>
  <c r="L21" i="7" s="1"/>
  <c r="K20" i="7"/>
  <c r="L20" i="7" s="1"/>
  <c r="K19" i="7"/>
  <c r="L19" i="7" s="1"/>
  <c r="K18" i="7"/>
  <c r="L18" i="7" s="1"/>
  <c r="K17" i="7"/>
  <c r="L17" i="7" s="1"/>
  <c r="K16" i="7"/>
  <c r="L16" i="7" s="1"/>
  <c r="K15" i="7"/>
  <c r="L15" i="7" s="1"/>
  <c r="K14" i="7"/>
  <c r="L14" i="7" s="1"/>
  <c r="K13" i="7"/>
  <c r="L13" i="7" s="1"/>
  <c r="K12" i="7"/>
  <c r="L12" i="7" s="1"/>
  <c r="K11" i="7"/>
  <c r="L11" i="7" s="1"/>
  <c r="K10" i="7"/>
  <c r="L10" i="7" s="1"/>
  <c r="K9" i="7"/>
  <c r="L9" i="7" s="1"/>
  <c r="K8" i="7"/>
  <c r="L8" i="7" s="1"/>
  <c r="K7" i="7"/>
  <c r="L7" i="7" s="1"/>
  <c r="K6" i="7"/>
  <c r="L6" i="7" s="1"/>
  <c r="K5" i="7"/>
  <c r="L5" i="7" s="1"/>
  <c r="K4" i="7"/>
  <c r="L4" i="7" s="1"/>
  <c r="K3" i="7"/>
  <c r="L3" i="7" s="1"/>
  <c r="J3" i="6" l="1"/>
  <c r="J4" i="6" l="1"/>
  <c r="K4" i="6" s="1"/>
  <c r="J5" i="6"/>
  <c r="K5" i="6" s="1"/>
  <c r="J6" i="6"/>
  <c r="K6" i="6" s="1"/>
  <c r="J7" i="6"/>
  <c r="K7" i="6" s="1"/>
  <c r="J8" i="6"/>
  <c r="K8" i="6" s="1"/>
  <c r="J9" i="6"/>
  <c r="K9" i="6" s="1"/>
  <c r="J10" i="6"/>
  <c r="K10" i="6" s="1"/>
  <c r="J11" i="6"/>
  <c r="K11" i="6" s="1"/>
  <c r="J12" i="6"/>
  <c r="K12" i="6" s="1"/>
  <c r="J13" i="6"/>
  <c r="K13" i="6" s="1"/>
  <c r="J14" i="6"/>
  <c r="K14" i="6" s="1"/>
  <c r="J15" i="6"/>
  <c r="K15" i="6" s="1"/>
  <c r="J16" i="6"/>
  <c r="K16" i="6" s="1"/>
  <c r="J17" i="6"/>
  <c r="K17" i="6" s="1"/>
  <c r="J18" i="6"/>
  <c r="K18" i="6" s="1"/>
  <c r="J19" i="6"/>
  <c r="K19" i="6" s="1"/>
  <c r="J20" i="6"/>
  <c r="K20" i="6" s="1"/>
  <c r="J21" i="6"/>
  <c r="K21" i="6" s="1"/>
  <c r="J22" i="6"/>
  <c r="K22" i="6" s="1"/>
  <c r="J23" i="6"/>
  <c r="K23" i="6" s="1"/>
  <c r="K3" i="6"/>
</calcChain>
</file>

<file path=xl/comments1.xml><?xml version="1.0" encoding="utf-8"?>
<comments xmlns="http://schemas.openxmlformats.org/spreadsheetml/2006/main">
  <authors>
    <author>Autor</author>
  </authors>
  <commentList>
    <comment ref="M17" authorId="0" shapeId="0">
      <text>
        <r>
          <rPr>
            <b/>
            <sz val="9"/>
            <color indexed="81"/>
            <rFont val="Tahoma"/>
            <family val="2"/>
          </rPr>
          <t xml:space="preserve">servicio cada 1000 Hs 
</t>
        </r>
      </text>
    </comment>
  </commentList>
</comments>
</file>

<file path=xl/sharedStrings.xml><?xml version="1.0" encoding="utf-8"?>
<sst xmlns="http://schemas.openxmlformats.org/spreadsheetml/2006/main" count="1578" uniqueCount="307">
  <si>
    <t>Nº Soporte</t>
  </si>
  <si>
    <t>Fecha</t>
  </si>
  <si>
    <t>Cliente</t>
  </si>
  <si>
    <t>Lugar</t>
  </si>
  <si>
    <t>Serializado</t>
  </si>
  <si>
    <t>TALLER</t>
  </si>
  <si>
    <t>ZONA</t>
  </si>
  <si>
    <t>La Casa del Tapicero SRL</t>
  </si>
  <si>
    <t>Heli CPCD25 (2956)</t>
  </si>
  <si>
    <t>Delyar SA</t>
  </si>
  <si>
    <t xml:space="preserve">HORAS </t>
  </si>
  <si>
    <t>HORAS</t>
  </si>
  <si>
    <t>PROMEDIO HS DE USO.</t>
  </si>
  <si>
    <t>FECHA ESTIMADA PROXIMO SERVI.</t>
  </si>
  <si>
    <t>FECHA ANTE ULTIMO SERV.</t>
  </si>
  <si>
    <t>SOPORTE</t>
  </si>
  <si>
    <t>SERVICIO ACTUAL</t>
  </si>
  <si>
    <t>SERVICIO ANTERIOR</t>
  </si>
  <si>
    <t>PROXIMO SERVICIO</t>
  </si>
  <si>
    <t>Nº SOPORTE</t>
  </si>
  <si>
    <t>TIPO DE SERV.</t>
  </si>
  <si>
    <t>1000 hs</t>
  </si>
  <si>
    <t>Tipo de serv.</t>
  </si>
  <si>
    <t xml:space="preserve">AUN NO ESTA EN HS </t>
  </si>
  <si>
    <t>100 Hs</t>
  </si>
  <si>
    <t>NO ATENDER MAS</t>
  </si>
  <si>
    <t>TIPO DE SERVICIO</t>
  </si>
  <si>
    <t>HELI (3084)</t>
  </si>
  <si>
    <t>Pingüino (Cormoran SA)</t>
  </si>
  <si>
    <t>Clucelat SRL</t>
  </si>
  <si>
    <t>HELI CPCD25 K2 (3480)</t>
  </si>
  <si>
    <t>Mamasú SRL - Altina</t>
  </si>
  <si>
    <t>JAC CPCD35 (3564)</t>
  </si>
  <si>
    <t>500 hs</t>
  </si>
  <si>
    <t>ZF Argentina SA</t>
  </si>
  <si>
    <t>Lácteos Santa María</t>
  </si>
  <si>
    <t>HELI CQD16-GB2SLi (3551)</t>
  </si>
  <si>
    <t>Sueño Dorado - Hartmann Adolfo Américo - colchones</t>
  </si>
  <si>
    <t>HELI CPD25 (3313)</t>
  </si>
  <si>
    <t>500Hs</t>
  </si>
  <si>
    <t>250Hs</t>
  </si>
  <si>
    <t>100Hs</t>
  </si>
  <si>
    <t>DVH Lácteos Castelar</t>
  </si>
  <si>
    <t>HELI CPCD25 (3524)</t>
  </si>
  <si>
    <t>YALE Nº469 (3115)</t>
  </si>
  <si>
    <t>1000Hs</t>
  </si>
  <si>
    <t>HELI CPD25-GB2Li-M (3609)</t>
  </si>
  <si>
    <t>750Hs</t>
  </si>
  <si>
    <t>Tremblay SRL</t>
  </si>
  <si>
    <t>HELI CPCD25 SERIE G (2688)</t>
  </si>
  <si>
    <t>750 Hs</t>
  </si>
  <si>
    <t>Establecimiento Santa Ana S. A. / CBSé</t>
  </si>
  <si>
    <t>TOYOTA FGZN25 (3575)</t>
  </si>
  <si>
    <t>500 Hs</t>
  </si>
  <si>
    <t>TOYOTA 32-8FG25 (3577)</t>
  </si>
  <si>
    <t>TOYOTA (3353)</t>
  </si>
  <si>
    <t>1000 Hs</t>
  </si>
  <si>
    <t>LIUGONG CPCD35 (3642)</t>
  </si>
  <si>
    <t>Est. de Serv. YPF - Mi Granja - YPF GAS S.A.</t>
  </si>
  <si>
    <t>HELI CPCD25-M3H (3571)</t>
  </si>
  <si>
    <t>Bazar Colucci SRL</t>
  </si>
  <si>
    <t>HELI CDD16 Li (3366)</t>
  </si>
  <si>
    <t>La Cumbrecita SRL</t>
  </si>
  <si>
    <t>HELI CPCD25 (3190)</t>
  </si>
  <si>
    <t>500 hS</t>
  </si>
  <si>
    <t>HELI (2963)</t>
  </si>
  <si>
    <t>EME - Mogetta Electricidad</t>
  </si>
  <si>
    <t>HELI CPD18 (3318)</t>
  </si>
  <si>
    <t>Glutal SA</t>
  </si>
  <si>
    <t>HELI CPD25 G3 (3535)</t>
  </si>
  <si>
    <t>HELI CPD18 (3478)</t>
  </si>
  <si>
    <t>F-Inproal SRL - Copeto Snacks - Pavignano Matías</t>
  </si>
  <si>
    <t>Michigan (3263)</t>
  </si>
  <si>
    <t>250 Hs</t>
  </si>
  <si>
    <t>Carlos y Rodolfo Gosso S.R.L</t>
  </si>
  <si>
    <t>HELI K (3145)</t>
  </si>
  <si>
    <t>Bici Peretti SA - SLP</t>
  </si>
  <si>
    <t>TOYOTA SPE160 (3651)</t>
  </si>
  <si>
    <t>TOYOTA SPE160 (3652)</t>
  </si>
  <si>
    <t>Bartolo J. Pons SA</t>
  </si>
  <si>
    <t>CLARK CQ25 (2374)</t>
  </si>
  <si>
    <t>Lince SA</t>
  </si>
  <si>
    <t>APILADOR CDD20Li (3389)</t>
  </si>
  <si>
    <t>Pronuser SRL</t>
  </si>
  <si>
    <t>HELI Santa Fe (3065)</t>
  </si>
  <si>
    <t>El Túnel SA</t>
  </si>
  <si>
    <t>CPD18Q (8281)</t>
  </si>
  <si>
    <t>CDD16 -950 (3287)</t>
  </si>
  <si>
    <t>YesPlac</t>
  </si>
  <si>
    <t>HELI CPCD25 H2000 (3357)</t>
  </si>
  <si>
    <t>-</t>
  </si>
  <si>
    <t>Aut. nº 11 (2203)</t>
  </si>
  <si>
    <t>La Clementina</t>
  </si>
  <si>
    <t>HELI CPCD25-M3H (3605)</t>
  </si>
  <si>
    <t>YALE Nº448 (3114)</t>
  </si>
  <si>
    <t>12/07/2024</t>
  </si>
  <si>
    <t>250 hS</t>
  </si>
  <si>
    <t>1000 hS</t>
  </si>
  <si>
    <t>ACTIVIDAD PROGRAMADA</t>
  </si>
  <si>
    <t>Toyota 330 (3258)</t>
  </si>
  <si>
    <t>Zona</t>
  </si>
  <si>
    <t>Windy - Templac SA - PGB SA</t>
  </si>
  <si>
    <t>HELI CDD20Li-950 (3572)</t>
  </si>
  <si>
    <t>Lácteos Aurora - Vila SACI</t>
  </si>
  <si>
    <t>HELI 18 (3020)</t>
  </si>
  <si>
    <t>Hidráulica San Francisco HSF</t>
  </si>
  <si>
    <t>YALE (3319)</t>
  </si>
  <si>
    <t>HELI (3275)</t>
  </si>
  <si>
    <t>Promo Burger SRL</t>
  </si>
  <si>
    <t>HELI CDD15J-Li (3561)</t>
  </si>
  <si>
    <t>Mercan SRL (Alzugaray Leandro)</t>
  </si>
  <si>
    <t>CQD20 (3293)</t>
  </si>
  <si>
    <t>Maquinarias San Francisco - MSF Tech</t>
  </si>
  <si>
    <t>HELI CPD25 GREEN SERIES (3354)</t>
  </si>
  <si>
    <t>500 HS</t>
  </si>
  <si>
    <t>Abastecimientos Lácteos SA</t>
  </si>
  <si>
    <t>CPD18 (3292)</t>
  </si>
  <si>
    <t>250 HS</t>
  </si>
  <si>
    <t>Prolid SA</t>
  </si>
  <si>
    <t>HELI CPCD25-M3H (3628)</t>
  </si>
  <si>
    <t>Lartirigoyen y Cía SA</t>
  </si>
  <si>
    <t>HELI CPCD25 (3500)</t>
  </si>
  <si>
    <t>Animal Food S.A.</t>
  </si>
  <si>
    <t>HELI CPD18-GB2Li-M (3574)</t>
  </si>
  <si>
    <t>HELI CPD18-GB2Li-M (3573)</t>
  </si>
  <si>
    <t>Transporte El Provinciano S.R.L.</t>
  </si>
  <si>
    <t>HELI CPCD25 (3523)</t>
  </si>
  <si>
    <t>Transporte y Distribuidora CAA CUPE S.R.L</t>
  </si>
  <si>
    <t>Heli Kseries (3126)</t>
  </si>
  <si>
    <t>Distribuidora YPF Agro (CARLOS ALBERTO GARCIA S.A.)</t>
  </si>
  <si>
    <t>CPCD25 H2000 (3172)</t>
  </si>
  <si>
    <t>mensual</t>
  </si>
  <si>
    <t xml:space="preserve">TOYOTA FGZN20 Nº2 (3599) </t>
  </si>
  <si>
    <t>TOYOTA FGZN25 (3576)</t>
  </si>
  <si>
    <t>Metalúrgica Franck SA</t>
  </si>
  <si>
    <t>HELI CPDC 25 (2782)</t>
  </si>
  <si>
    <t>Daniel Mondino y Diego Grimaldi</t>
  </si>
  <si>
    <t>TALIFT FD25 (3681)</t>
  </si>
  <si>
    <t>TOYOTA FGZN25 (3680)</t>
  </si>
  <si>
    <t>Bremocor Motores eléctricos</t>
  </si>
  <si>
    <t>CPCD25 NEW H (3185)</t>
  </si>
  <si>
    <t>HELI CPD25-GC1 (3620)</t>
  </si>
  <si>
    <t>Famiq SRL</t>
  </si>
  <si>
    <t>CPD35 (3382)</t>
  </si>
  <si>
    <t>Pied SA / Cooperativa de trabajo San Javier Ltda / Metales Acier</t>
  </si>
  <si>
    <t>HELI CPCD25 (3325)</t>
  </si>
  <si>
    <t>Molino Victoria SA</t>
  </si>
  <si>
    <t>HELI CPCD25 (3522)</t>
  </si>
  <si>
    <t>Gastaldi Distribuciones SRL</t>
  </si>
  <si>
    <t>HELI CQD18 (3420)</t>
  </si>
  <si>
    <t>Coop. Agríc. Gan. Ltda. Guillermo Lehmann</t>
  </si>
  <si>
    <t>HELI Nº8 PILAR (3542)</t>
  </si>
  <si>
    <t>Transporte San Francisco (Franco Bocca)</t>
  </si>
  <si>
    <t>CDD15J (3232)</t>
  </si>
  <si>
    <t>Geronzi SA</t>
  </si>
  <si>
    <t>CPCD25 NEWH (3251)</t>
  </si>
  <si>
    <t>Grupo Inalsur</t>
  </si>
  <si>
    <t>CDD15J (3222)</t>
  </si>
  <si>
    <t>el prox. Se hizo el 12/05/25</t>
  </si>
  <si>
    <t>el prox. Se hizo el 14/04/25</t>
  </si>
  <si>
    <t>el prox. Se hizo el 28/04</t>
  </si>
  <si>
    <t>20/05/25 se hizo</t>
  </si>
  <si>
    <t xml:space="preserve">abril se hizo </t>
  </si>
  <si>
    <t>se hizo el prox. El 24/04</t>
  </si>
  <si>
    <t>se hizo el prox. En abril</t>
  </si>
  <si>
    <t>proximo service en mayo</t>
  </si>
  <si>
    <t>se dio aviso el 19/05</t>
  </si>
  <si>
    <t>se avisó el 19/05</t>
  </si>
  <si>
    <t xml:space="preserve">nos hablan ellos para coordinar el service </t>
  </si>
  <si>
    <t>HELI Nº 2 (3247)</t>
  </si>
  <si>
    <t>Agroideas SA</t>
  </si>
  <si>
    <t>Gatti SA</t>
  </si>
  <si>
    <t>HELI NEW H2000 (3311)</t>
  </si>
  <si>
    <t>Marca Sociedad Anónima - Elogio</t>
  </si>
  <si>
    <t>HELI</t>
  </si>
  <si>
    <t>Secmaq SRL</t>
  </si>
  <si>
    <t>HELI CPD35-GB2Li-M (3625)</t>
  </si>
  <si>
    <t>Griffa SA (Concesionario New Holland)</t>
  </si>
  <si>
    <t>CPCD35 - Q2H2(3187)</t>
  </si>
  <si>
    <t>HELI CPCD30 NEW H (3485)</t>
  </si>
  <si>
    <t>Verdulería Los Hermanitos</t>
  </si>
  <si>
    <t>APILADOR CDD20 (3440)</t>
  </si>
  <si>
    <t>Semilleria Santa Fe</t>
  </si>
  <si>
    <t>Barbero SA</t>
  </si>
  <si>
    <t>HELI HL915 (3369)</t>
  </si>
  <si>
    <t>Cooperativa Horizonte</t>
  </si>
  <si>
    <t>MICHIGAN (3518)</t>
  </si>
  <si>
    <t>Carlos Boero Romano SAIC</t>
  </si>
  <si>
    <t>APILADOR CDD15J-Li (3470)</t>
  </si>
  <si>
    <t>Di Tondo Antonio Roque Marcelo Maria y Alejandro Maria S H</t>
  </si>
  <si>
    <t>HELI Nº 4 (3340)</t>
  </si>
  <si>
    <t>Brescialat SA</t>
  </si>
  <si>
    <t>HELI K 2500 (3137)</t>
  </si>
  <si>
    <t>Hernán Andres Gimenez</t>
  </si>
  <si>
    <t>HELI CPCD18-QCH2 (3672)</t>
  </si>
  <si>
    <t>750 hS</t>
  </si>
  <si>
    <t>Biomix Nutrición Animal S.R.L.</t>
  </si>
  <si>
    <t>HELI CPCD25-Q22K2 (3529)</t>
  </si>
  <si>
    <t>Avaro Hnos</t>
  </si>
  <si>
    <t>CPD 25 (3277)</t>
  </si>
  <si>
    <t>Industrias Emegom - EMEVEG</t>
  </si>
  <si>
    <t>HELI CDD15J (3349)</t>
  </si>
  <si>
    <t>HELI CPCD35 (3280)</t>
  </si>
  <si>
    <t>HELI CBD20-460Li (3519)</t>
  </si>
  <si>
    <t>APILADOR CQD16 (3155)</t>
  </si>
  <si>
    <t>Equipos Agroviales SA / TBeH</t>
  </si>
  <si>
    <t>HELI CDP25-GB3Li-S (3694)</t>
  </si>
  <si>
    <t>Cori Food</t>
  </si>
  <si>
    <t>HELI CDD15J-Li (3537)</t>
  </si>
  <si>
    <t>YA SE HIZO EL 07/08</t>
  </si>
  <si>
    <t>YA SE HIZO EL 08/08</t>
  </si>
  <si>
    <t>YA SE HIZO EL 03/07/25</t>
  </si>
  <si>
    <t>YA SE HIZO EL 15/07</t>
  </si>
  <si>
    <t>ESTÁ VENDIDO A MOVILIFT</t>
  </si>
  <si>
    <t>SE HACE EN TALLER EL 18/08</t>
  </si>
  <si>
    <t>Encapa</t>
  </si>
  <si>
    <t>HELI CDD16J-Li (3555)</t>
  </si>
  <si>
    <t>Pala cargadora ZL20F (2828)</t>
  </si>
  <si>
    <t>semestral</t>
  </si>
  <si>
    <t>HELI CDD15J Nº2 (3425)</t>
  </si>
  <si>
    <t>Don Ilmo - Scortechini Sergio Marcelo</t>
  </si>
  <si>
    <t>HELI CPD25-GB2Li-M (3543)</t>
  </si>
  <si>
    <t>HELI CDD15J Nº1 (3424)</t>
  </si>
  <si>
    <t>Ready Parts S. A. / Cesca S.A.</t>
  </si>
  <si>
    <t>Aut. nº 53 (3303)</t>
  </si>
  <si>
    <t>Sociedad Cooperativa Union Popular Limitada</t>
  </si>
  <si>
    <t>HELI (3049)</t>
  </si>
  <si>
    <t>HELI Nº7 PILAR (3541)</t>
  </si>
  <si>
    <t>HELI CPD25-GB3Li-S (3693)</t>
  </si>
  <si>
    <t>Ever Wear</t>
  </si>
  <si>
    <t>HELI CPCD25 (2625)</t>
  </si>
  <si>
    <t>HELI CPD25-GB3Li-S (3710)</t>
  </si>
  <si>
    <t>HELI CPD25-GB3Li-S (3709)</t>
  </si>
  <si>
    <t>HELI Nº 3 (3339)</t>
  </si>
  <si>
    <t>Emagerys S.A.S / Matías Bonetti</t>
  </si>
  <si>
    <t>MICHIGAN ME3-45T (3621)</t>
  </si>
  <si>
    <t>Matías Marcelo Gimenez - Distribuidora PyM</t>
  </si>
  <si>
    <t>CDD16 (3261)</t>
  </si>
  <si>
    <t>Aldo Pavón e Hijos Sociedad Anónima</t>
  </si>
  <si>
    <t>HELI CPCD25-Q22K2 (3725)</t>
  </si>
  <si>
    <t>anual</t>
  </si>
  <si>
    <t>AlasPlan</t>
  </si>
  <si>
    <t>HELI CBS15 (3358)</t>
  </si>
  <si>
    <t>trimestral</t>
  </si>
  <si>
    <t>Aut. nº 019 (2329)</t>
  </si>
  <si>
    <t>Governo y Perassi SA</t>
  </si>
  <si>
    <t>CPCD25 New H(3103)</t>
  </si>
  <si>
    <t>Nelso Ferreyra</t>
  </si>
  <si>
    <t>Mitsubishi (1405)</t>
  </si>
  <si>
    <t>APILADOR DARC (3380)</t>
  </si>
  <si>
    <t>+</t>
  </si>
  <si>
    <t>Panificadora Sarmiento S.R.L</t>
  </si>
  <si>
    <t>APILADOR TORLETTI (3743)</t>
  </si>
  <si>
    <t>Cooperativa Agrícola Villa Trinidad</t>
  </si>
  <si>
    <t>Grupo Aliar S. A.</t>
  </si>
  <si>
    <t>HELI CQD20-GB2SHDLi (3668)</t>
  </si>
  <si>
    <t>Astegiano y Cia SRL</t>
  </si>
  <si>
    <t>TOYOTA (3086)</t>
  </si>
  <si>
    <t>HELI CDD15J-ZSM-Li (3673)</t>
  </si>
  <si>
    <t>Ciudad Mayorista</t>
  </si>
  <si>
    <t>EP ES16-16RS (3770)</t>
  </si>
  <si>
    <t>Lacteos Steber SA</t>
  </si>
  <si>
    <t>HELI CPCD25-Q22K2 (3708)</t>
  </si>
  <si>
    <t>HELI Nº 1 (3246)</t>
  </si>
  <si>
    <t>HELI CDD20Li-950 (3415)</t>
  </si>
  <si>
    <t>Máquinas Del Centro</t>
  </si>
  <si>
    <t>CPCD35 (3199)</t>
  </si>
  <si>
    <t>Animal Food SA</t>
  </si>
  <si>
    <t>HELI (3006)</t>
  </si>
  <si>
    <t>YALE Nº504 (1837)</t>
  </si>
  <si>
    <t>Agro Noble SRL</t>
  </si>
  <si>
    <t>Apilador (3122)</t>
  </si>
  <si>
    <t>Rolando Jesus Mignola</t>
  </si>
  <si>
    <t>HELI CPCD25-Q22K2 (3722)</t>
  </si>
  <si>
    <t>Establecimiento Santa Ana SA / CBSé</t>
  </si>
  <si>
    <t>Alma Láctea SRL</t>
  </si>
  <si>
    <t>HELI CPCD25-Q22K2 (3699)</t>
  </si>
  <si>
    <t>Bladek Sociedad De Responsabilidad Limitada</t>
  </si>
  <si>
    <t>HELI CPCD25-M3H (3643)</t>
  </si>
  <si>
    <t>Equipos y Servicios Esperanza SRL</t>
  </si>
  <si>
    <t>HELI CPCD25-Q22K2 (3696)</t>
  </si>
  <si>
    <t>Ansil SA (Fegom SRL / Montesur)</t>
  </si>
  <si>
    <t>CPCD25 NEW H (3283)</t>
  </si>
  <si>
    <t>Centro Agrícola S.R.L.</t>
  </si>
  <si>
    <t>100 hs</t>
  </si>
  <si>
    <t>250 hs</t>
  </si>
  <si>
    <t>750 hs</t>
  </si>
  <si>
    <t>HELI CPCD25 NEW H (3418)</t>
  </si>
  <si>
    <t>se hizo en noviembre 2025</t>
  </si>
  <si>
    <t>ya se hizo</t>
  </si>
  <si>
    <t>diciembre</t>
  </si>
  <si>
    <t>les hable el 13/02/26</t>
  </si>
  <si>
    <t>se hizo en enero 2026</t>
  </si>
  <si>
    <t>SE HIZO EN ENERO 2026</t>
  </si>
  <si>
    <t>SE HIZO EN DICIEMBRE 2025</t>
  </si>
  <si>
    <t>se hizo en noviembre</t>
  </si>
  <si>
    <t>se hicieron en enero 26</t>
  </si>
  <si>
    <t>esta parado</t>
  </si>
  <si>
    <t xml:space="preserve">son trimestrales </t>
  </si>
  <si>
    <t>se hizo en diciembre</t>
  </si>
  <si>
    <t>le hable 13/02/26</t>
  </si>
  <si>
    <t>se hizo en febrero 2026</t>
  </si>
  <si>
    <t>le hable el 13/02/26</t>
  </si>
  <si>
    <t>ya se hizo en 2026</t>
  </si>
  <si>
    <t>ya se hizo en Marzo 2026</t>
  </si>
  <si>
    <t>Se hace en Marzo 2026</t>
  </si>
  <si>
    <t>ya se hizo en febrero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</si>
</sst>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4" fontId="0" fillId="4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5" xfId="0" quotePrefix="1" applyFill="1" applyBorder="1" applyAlignment="1">
      <alignment horizontal="center" vertical="center"/>
    </xf>
    <xf numFmtId="14" fontId="0" fillId="4" borderId="7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4" fontId="0" fillId="3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6" xfId="0" applyNumberFormat="1" applyFill="1" applyBorder="1" applyAlignment="1">
      <alignment horizontal="center" vertical="center"/>
    </xf>
    <xf numFmtId="0" fontId="0" fillId="6" borderId="6" xfId="0" applyNumberFormat="1" applyFill="1" applyBorder="1" applyAlignment="1">
      <alignment horizontal="center" vertical="center"/>
    </xf>
    <xf numFmtId="0" fontId="0" fillId="3" borderId="9" xfId="0" applyNumberFormat="1" applyFill="1" applyBorder="1" applyAlignment="1">
      <alignment horizontal="center" vertical="center"/>
    </xf>
    <xf numFmtId="0" fontId="2" fillId="5" borderId="14" xfId="0" applyFont="1" applyFill="1" applyBorder="1" applyAlignment="1"/>
    <xf numFmtId="14" fontId="3" fillId="5" borderId="20" xfId="0" applyNumberFormat="1" applyFont="1" applyFill="1" applyBorder="1" applyAlignment="1">
      <alignment horizontal="center" vertical="center"/>
    </xf>
    <xf numFmtId="14" fontId="3" fillId="5" borderId="21" xfId="0" applyNumberFormat="1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0" fillId="6" borderId="5" xfId="0" quotePrefix="1" applyFill="1" applyBorder="1" applyAlignment="1">
      <alignment horizontal="center" vertical="center"/>
    </xf>
    <xf numFmtId="14" fontId="0" fillId="6" borderId="1" xfId="0" quotePrefix="1" applyNumberForma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1" fillId="4" borderId="10" xfId="0" applyFont="1" applyFill="1" applyBorder="1" applyAlignment="1">
      <alignment horizontal="center" vertical="center" wrapText="1"/>
    </xf>
    <xf numFmtId="0" fontId="0" fillId="3" borderId="23" xfId="0" quotePrefix="1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0" fillId="6" borderId="23" xfId="0" quotePrefix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/>
    <xf numFmtId="14" fontId="0" fillId="2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5" fillId="7" borderId="0" xfId="0" applyNumberFormat="1" applyFont="1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0" fontId="0" fillId="3" borderId="5" xfId="0" quotePrefix="1" applyNumberFormat="1" applyFill="1" applyBorder="1" applyAlignment="1">
      <alignment horizontal="center" vertical="center"/>
    </xf>
    <xf numFmtId="0" fontId="0" fillId="6" borderId="5" xfId="0" applyNumberFormat="1" applyFill="1" applyBorder="1" applyAlignment="1">
      <alignment horizontal="center" vertical="center"/>
    </xf>
    <xf numFmtId="0" fontId="0" fillId="3" borderId="5" xfId="0" applyNumberFormat="1" applyFill="1" applyBorder="1" applyAlignment="1">
      <alignment horizontal="center" vertical="center"/>
    </xf>
    <xf numFmtId="0" fontId="0" fillId="6" borderId="5" xfId="0" quotePrefix="1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8" fillId="0" borderId="0" xfId="0" applyFont="1"/>
    <xf numFmtId="14" fontId="0" fillId="6" borderId="5" xfId="0" applyNumberFormat="1" applyFill="1" applyBorder="1" applyAlignment="1">
      <alignment horizontal="center" vertical="center"/>
    </xf>
    <xf numFmtId="14" fontId="7" fillId="0" borderId="0" xfId="0" applyNumberFormat="1" applyFont="1"/>
    <xf numFmtId="0" fontId="5" fillId="3" borderId="23" xfId="0" quotePrefix="1" applyFont="1" applyFill="1" applyBorder="1" applyAlignment="1">
      <alignment horizontal="center" vertical="center"/>
    </xf>
    <xf numFmtId="14" fontId="4" fillId="5" borderId="20" xfId="0" applyNumberFormat="1" applyFont="1" applyFill="1" applyBorder="1" applyAlignment="1">
      <alignment horizontal="center" vertical="center"/>
    </xf>
    <xf numFmtId="17" fontId="7" fillId="0" borderId="0" xfId="0" applyNumberFormat="1" applyFont="1"/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zoomScale="85" zoomScaleNormal="85" workbookViewId="0">
      <selection activeCell="A7" sqref="A7:XFD7"/>
    </sheetView>
  </sheetViews>
  <sheetFormatPr baseColWidth="10" defaultRowHeight="15" x14ac:dyDescent="0.25"/>
  <cols>
    <col min="2" max="2" width="9.42578125" bestFit="1" customWidth="1"/>
    <col min="3" max="3" width="6.7109375" bestFit="1" customWidth="1"/>
    <col min="4" max="4" width="11.5703125" bestFit="1" customWidth="1"/>
    <col min="5" max="5" width="27.85546875" bestFit="1" customWidth="1"/>
    <col min="6" max="6" width="22.42578125" bestFit="1" customWidth="1"/>
    <col min="7" max="7" width="5.5703125" bestFit="1" customWidth="1"/>
    <col min="8" max="8" width="12.5703125" customWidth="1"/>
    <col min="13" max="13" width="20.7109375" customWidth="1"/>
  </cols>
  <sheetData>
    <row r="1" spans="1:14" ht="15.75" thickBot="1" x14ac:dyDescent="0.3"/>
    <row r="2" spans="1:14" ht="19.5" thickBot="1" x14ac:dyDescent="0.35">
      <c r="A2" s="75" t="s">
        <v>16</v>
      </c>
      <c r="B2" s="76"/>
      <c r="C2" s="76"/>
      <c r="D2" s="76"/>
      <c r="E2" s="76"/>
      <c r="F2" s="76"/>
      <c r="G2" s="77"/>
      <c r="H2" s="78" t="s">
        <v>17</v>
      </c>
      <c r="I2" s="79"/>
      <c r="J2" s="79"/>
      <c r="K2" s="79"/>
      <c r="L2" s="80"/>
      <c r="M2" s="28" t="s">
        <v>18</v>
      </c>
    </row>
    <row r="3" spans="1:14" ht="45" x14ac:dyDescent="0.25">
      <c r="A3" s="31" t="s">
        <v>1</v>
      </c>
      <c r="B3" s="32" t="s">
        <v>0</v>
      </c>
      <c r="C3" s="32" t="s">
        <v>10</v>
      </c>
      <c r="D3" s="49" t="s">
        <v>20</v>
      </c>
      <c r="E3" s="32" t="s">
        <v>2</v>
      </c>
      <c r="F3" s="32" t="s">
        <v>4</v>
      </c>
      <c r="G3" s="33" t="s">
        <v>3</v>
      </c>
      <c r="H3" s="35" t="s">
        <v>14</v>
      </c>
      <c r="I3" s="34" t="s">
        <v>19</v>
      </c>
      <c r="J3" s="36" t="s">
        <v>11</v>
      </c>
      <c r="K3" s="55" t="s">
        <v>20</v>
      </c>
      <c r="L3" s="37" t="s">
        <v>12</v>
      </c>
      <c r="M3" s="38" t="s">
        <v>13</v>
      </c>
    </row>
    <row r="4" spans="1:14" ht="15.75" x14ac:dyDescent="0.25">
      <c r="A4" s="8">
        <v>45671</v>
      </c>
      <c r="B4" s="6">
        <v>7276</v>
      </c>
      <c r="C4" s="6">
        <v>535</v>
      </c>
      <c r="D4" s="6" t="s">
        <v>39</v>
      </c>
      <c r="E4" s="6" t="s">
        <v>35</v>
      </c>
      <c r="F4" s="6" t="s">
        <v>36</v>
      </c>
      <c r="G4" s="7" t="s">
        <v>6</v>
      </c>
      <c r="H4" s="22">
        <v>45561</v>
      </c>
      <c r="I4" s="15">
        <v>6935</v>
      </c>
      <c r="J4" s="23">
        <v>281</v>
      </c>
      <c r="K4" s="50" t="s">
        <v>24</v>
      </c>
      <c r="L4" s="26">
        <f t="shared" ref="L4:L22" si="0">+(C4-J4)/(A4-H4)</f>
        <v>2.3090909090909091</v>
      </c>
      <c r="M4" s="29">
        <f t="shared" ref="M4:M22" si="1">+A4+(250/L4)</f>
        <v>45779.267716535433</v>
      </c>
      <c r="N4" s="48" t="s">
        <v>98</v>
      </c>
    </row>
    <row r="5" spans="1:14" ht="15.75" x14ac:dyDescent="0.25">
      <c r="A5" s="11">
        <v>45672</v>
      </c>
      <c r="B5" s="3">
        <v>7281</v>
      </c>
      <c r="C5" s="3">
        <v>2439</v>
      </c>
      <c r="D5" s="3" t="s">
        <v>40</v>
      </c>
      <c r="E5" s="3" t="s">
        <v>31</v>
      </c>
      <c r="F5" s="3" t="s">
        <v>32</v>
      </c>
      <c r="G5" s="4" t="s">
        <v>6</v>
      </c>
      <c r="H5" s="13">
        <v>45583</v>
      </c>
      <c r="I5" s="39">
        <v>7011</v>
      </c>
      <c r="J5" s="41">
        <v>2145</v>
      </c>
      <c r="K5" s="53" t="s">
        <v>56</v>
      </c>
      <c r="L5" s="26">
        <f t="shared" si="0"/>
        <v>3.303370786516854</v>
      </c>
      <c r="M5" s="29">
        <f t="shared" si="1"/>
        <v>45747.680272108846</v>
      </c>
      <c r="N5" s="48" t="s">
        <v>98</v>
      </c>
    </row>
    <row r="6" spans="1:14" ht="15.75" x14ac:dyDescent="0.25">
      <c r="A6" s="8">
        <v>45673</v>
      </c>
      <c r="B6" s="6">
        <v>7284</v>
      </c>
      <c r="C6" s="6">
        <v>125</v>
      </c>
      <c r="D6" s="6" t="s">
        <v>41</v>
      </c>
      <c r="E6" s="6" t="s">
        <v>42</v>
      </c>
      <c r="F6" s="6" t="s">
        <v>43</v>
      </c>
      <c r="G6" s="7" t="s">
        <v>6</v>
      </c>
      <c r="H6" s="22" t="s">
        <v>90</v>
      </c>
      <c r="I6" s="15" t="s">
        <v>90</v>
      </c>
      <c r="J6" s="23" t="s">
        <v>90</v>
      </c>
      <c r="K6" s="50" t="s">
        <v>90</v>
      </c>
      <c r="L6" s="25" t="e">
        <f t="shared" si="0"/>
        <v>#VALUE!</v>
      </c>
      <c r="M6" s="29" t="e">
        <f t="shared" si="1"/>
        <v>#VALUE!</v>
      </c>
      <c r="N6" s="48" t="s">
        <v>98</v>
      </c>
    </row>
    <row r="7" spans="1:14" ht="15.75" x14ac:dyDescent="0.25">
      <c r="A7" s="11">
        <v>45674</v>
      </c>
      <c r="B7" s="3">
        <v>7294</v>
      </c>
      <c r="C7" s="3">
        <v>1588</v>
      </c>
      <c r="D7" s="3" t="s">
        <v>33</v>
      </c>
      <c r="E7" s="56" t="s">
        <v>9</v>
      </c>
      <c r="F7" s="3" t="s">
        <v>27</v>
      </c>
      <c r="G7" s="4" t="s">
        <v>6</v>
      </c>
      <c r="H7" s="13">
        <v>45391</v>
      </c>
      <c r="I7" s="12">
        <v>6429</v>
      </c>
      <c r="J7" s="14">
        <v>1324</v>
      </c>
      <c r="K7" s="51" t="s">
        <v>73</v>
      </c>
      <c r="L7" s="26">
        <f t="shared" si="0"/>
        <v>0.93286219081272082</v>
      </c>
      <c r="M7" s="29">
        <f t="shared" si="1"/>
        <v>45941.992424242424</v>
      </c>
      <c r="N7" s="48" t="s">
        <v>98</v>
      </c>
    </row>
    <row r="8" spans="1:14" ht="15.75" x14ac:dyDescent="0.25">
      <c r="A8" s="8">
        <v>45674</v>
      </c>
      <c r="B8" s="6">
        <v>7295</v>
      </c>
      <c r="C8" s="42">
        <v>23517</v>
      </c>
      <c r="D8" s="42" t="s">
        <v>21</v>
      </c>
      <c r="E8" s="6" t="s">
        <v>34</v>
      </c>
      <c r="F8" s="6" t="s">
        <v>44</v>
      </c>
      <c r="G8" s="7" t="s">
        <v>5</v>
      </c>
      <c r="H8" s="10">
        <v>44609</v>
      </c>
      <c r="I8" s="9">
        <v>4415</v>
      </c>
      <c r="J8" s="43">
        <v>16513</v>
      </c>
      <c r="K8" s="52" t="s">
        <v>90</v>
      </c>
      <c r="L8" s="25">
        <f t="shared" si="0"/>
        <v>6.5765258215962445</v>
      </c>
      <c r="M8" s="29">
        <f t="shared" si="1"/>
        <v>45712.013992004569</v>
      </c>
      <c r="N8" s="48"/>
    </row>
    <row r="9" spans="1:14" ht="15.75" x14ac:dyDescent="0.25">
      <c r="A9" s="11">
        <v>45677</v>
      </c>
      <c r="B9" s="3">
        <v>7297</v>
      </c>
      <c r="C9" s="44">
        <v>15184</v>
      </c>
      <c r="D9" s="44" t="s">
        <v>21</v>
      </c>
      <c r="E9" s="3" t="s">
        <v>28</v>
      </c>
      <c r="F9" s="3">
        <v>2894</v>
      </c>
      <c r="G9" s="4" t="s">
        <v>5</v>
      </c>
      <c r="H9" s="40">
        <v>45588</v>
      </c>
      <c r="I9" s="39">
        <v>7021</v>
      </c>
      <c r="J9" s="41">
        <v>14904</v>
      </c>
      <c r="K9" s="53" t="s">
        <v>50</v>
      </c>
      <c r="L9" s="26">
        <f t="shared" si="0"/>
        <v>3.1460674157303372</v>
      </c>
      <c r="M9" s="29">
        <f t="shared" si="1"/>
        <v>45756.464285714283</v>
      </c>
      <c r="N9" s="48" t="s">
        <v>98</v>
      </c>
    </row>
    <row r="10" spans="1:14" ht="15.75" x14ac:dyDescent="0.25">
      <c r="A10" s="8">
        <v>45677</v>
      </c>
      <c r="B10" s="68">
        <v>7299</v>
      </c>
      <c r="C10" s="6">
        <v>6654</v>
      </c>
      <c r="D10" s="6" t="s">
        <v>45</v>
      </c>
      <c r="E10" s="6" t="s">
        <v>37</v>
      </c>
      <c r="F10" s="6" t="s">
        <v>38</v>
      </c>
      <c r="G10" s="7" t="s">
        <v>6</v>
      </c>
      <c r="H10" s="22">
        <v>45623</v>
      </c>
      <c r="I10" s="15">
        <v>7139</v>
      </c>
      <c r="J10" s="23">
        <v>6286</v>
      </c>
      <c r="K10" s="50">
        <v>750</v>
      </c>
      <c r="L10" s="25">
        <f t="shared" si="0"/>
        <v>6.8148148148148149</v>
      </c>
      <c r="M10" s="29">
        <f t="shared" si="1"/>
        <v>45713.684782608696</v>
      </c>
      <c r="N10" s="48"/>
    </row>
    <row r="11" spans="1:14" ht="15.75" x14ac:dyDescent="0.25">
      <c r="A11" s="11">
        <v>45679</v>
      </c>
      <c r="B11" s="3">
        <v>7305</v>
      </c>
      <c r="C11" s="44">
        <v>174</v>
      </c>
      <c r="D11" s="44" t="s">
        <v>24</v>
      </c>
      <c r="E11" s="3" t="s">
        <v>7</v>
      </c>
      <c r="F11" s="3" t="s">
        <v>46</v>
      </c>
      <c r="G11" s="4" t="s">
        <v>6</v>
      </c>
      <c r="H11" s="40" t="s">
        <v>90</v>
      </c>
      <c r="I11" s="39" t="s">
        <v>90</v>
      </c>
      <c r="J11" s="41" t="s">
        <v>90</v>
      </c>
      <c r="K11" s="53" t="s">
        <v>90</v>
      </c>
      <c r="L11" s="26" t="e">
        <f t="shared" si="0"/>
        <v>#VALUE!</v>
      </c>
      <c r="M11" s="29" t="e">
        <f t="shared" si="1"/>
        <v>#VALUE!</v>
      </c>
      <c r="N11" s="48" t="s">
        <v>98</v>
      </c>
    </row>
    <row r="12" spans="1:14" ht="15.75" x14ac:dyDescent="0.25">
      <c r="A12" s="8">
        <v>45680</v>
      </c>
      <c r="B12" s="6">
        <v>7308</v>
      </c>
      <c r="C12" s="45">
        <v>947</v>
      </c>
      <c r="D12" s="45" t="s">
        <v>47</v>
      </c>
      <c r="E12" s="6" t="s">
        <v>29</v>
      </c>
      <c r="F12" s="6" t="s">
        <v>30</v>
      </c>
      <c r="G12" s="7" t="s">
        <v>6</v>
      </c>
      <c r="H12" s="22">
        <v>45561</v>
      </c>
      <c r="I12" s="15">
        <v>6936</v>
      </c>
      <c r="J12" s="23">
        <v>677</v>
      </c>
      <c r="K12" s="50" t="s">
        <v>53</v>
      </c>
      <c r="L12" s="25">
        <f t="shared" si="0"/>
        <v>2.26890756302521</v>
      </c>
      <c r="M12" s="29">
        <f t="shared" si="1"/>
        <v>45790.185185185182</v>
      </c>
      <c r="N12" s="48" t="s">
        <v>98</v>
      </c>
    </row>
    <row r="13" spans="1:14" ht="15.75" x14ac:dyDescent="0.25">
      <c r="A13" s="11">
        <v>45680</v>
      </c>
      <c r="B13" s="3">
        <v>7309</v>
      </c>
      <c r="C13" s="3">
        <v>5538</v>
      </c>
      <c r="D13" s="3" t="s">
        <v>39</v>
      </c>
      <c r="E13" s="3" t="s">
        <v>7</v>
      </c>
      <c r="F13" s="3" t="s">
        <v>8</v>
      </c>
      <c r="G13" s="4" t="s">
        <v>6</v>
      </c>
      <c r="H13" s="40" t="s">
        <v>95</v>
      </c>
      <c r="I13" s="39">
        <v>6724</v>
      </c>
      <c r="J13" s="41">
        <v>5169</v>
      </c>
      <c r="K13" s="53" t="s">
        <v>73</v>
      </c>
      <c r="L13" s="26">
        <f t="shared" si="0"/>
        <v>1.8923076923076922</v>
      </c>
      <c r="M13" s="29">
        <f t="shared" si="1"/>
        <v>45812.113821138213</v>
      </c>
      <c r="N13" s="48"/>
    </row>
    <row r="14" spans="1:14" ht="15.75" x14ac:dyDescent="0.25">
      <c r="A14" s="8">
        <v>45680</v>
      </c>
      <c r="B14" s="6">
        <v>7314</v>
      </c>
      <c r="C14" s="6">
        <v>13342</v>
      </c>
      <c r="D14" s="6" t="s">
        <v>21</v>
      </c>
      <c r="E14" s="6" t="s">
        <v>48</v>
      </c>
      <c r="F14" s="6" t="s">
        <v>49</v>
      </c>
      <c r="G14" s="7" t="s">
        <v>5</v>
      </c>
      <c r="H14" s="10">
        <v>44743</v>
      </c>
      <c r="I14" s="9">
        <v>4803</v>
      </c>
      <c r="J14" s="5">
        <v>11254</v>
      </c>
      <c r="K14" s="54" t="s">
        <v>56</v>
      </c>
      <c r="L14" s="25">
        <f t="shared" si="0"/>
        <v>2.2283884738527213</v>
      </c>
      <c r="M14" s="29">
        <f t="shared" si="1"/>
        <v>45792.188697318008</v>
      </c>
      <c r="N14" s="48"/>
    </row>
    <row r="15" spans="1:14" ht="15.75" x14ac:dyDescent="0.25">
      <c r="A15" s="11">
        <v>45687</v>
      </c>
      <c r="B15" s="3">
        <v>7332</v>
      </c>
      <c r="C15" s="44">
        <v>3723</v>
      </c>
      <c r="D15" s="44" t="s">
        <v>50</v>
      </c>
      <c r="E15" s="3" t="s">
        <v>51</v>
      </c>
      <c r="F15" s="3" t="s">
        <v>52</v>
      </c>
      <c r="G15" s="4" t="s">
        <v>6</v>
      </c>
      <c r="H15" s="40">
        <v>45645</v>
      </c>
      <c r="I15" s="39">
        <v>7230</v>
      </c>
      <c r="J15" s="41">
        <v>3369</v>
      </c>
      <c r="K15" s="53" t="s">
        <v>53</v>
      </c>
      <c r="L15" s="25">
        <f t="shared" si="0"/>
        <v>8.4285714285714288</v>
      </c>
      <c r="M15" s="29">
        <f t="shared" si="1"/>
        <v>45716.661016949154</v>
      </c>
      <c r="N15" s="48"/>
    </row>
    <row r="16" spans="1:14" ht="15.75" x14ac:dyDescent="0.25">
      <c r="A16" s="8">
        <v>45687</v>
      </c>
      <c r="B16" s="6">
        <v>7333</v>
      </c>
      <c r="C16" s="6">
        <v>8989</v>
      </c>
      <c r="D16" s="6" t="s">
        <v>53</v>
      </c>
      <c r="E16" s="6" t="s">
        <v>51</v>
      </c>
      <c r="F16" s="6" t="s">
        <v>54</v>
      </c>
      <c r="G16" s="7" t="s">
        <v>6</v>
      </c>
      <c r="H16" s="10">
        <v>45631</v>
      </c>
      <c r="I16" s="9">
        <v>7180</v>
      </c>
      <c r="J16" s="5">
        <v>8742</v>
      </c>
      <c r="K16" s="54" t="s">
        <v>53</v>
      </c>
      <c r="L16" s="25">
        <f t="shared" si="0"/>
        <v>4.4107142857142856</v>
      </c>
      <c r="M16" s="29">
        <f t="shared" si="1"/>
        <v>45743.680161943317</v>
      </c>
      <c r="N16" s="48"/>
    </row>
    <row r="17" spans="1:14" ht="15.75" x14ac:dyDescent="0.25">
      <c r="A17" s="11">
        <v>45687</v>
      </c>
      <c r="B17" s="3">
        <v>7334</v>
      </c>
      <c r="C17" s="3">
        <v>7166</v>
      </c>
      <c r="D17" s="3" t="s">
        <v>53</v>
      </c>
      <c r="E17" s="3" t="s">
        <v>51</v>
      </c>
      <c r="F17" s="3" t="s">
        <v>55</v>
      </c>
      <c r="G17" s="4" t="s">
        <v>6</v>
      </c>
      <c r="H17" s="13">
        <v>45631</v>
      </c>
      <c r="I17" s="12">
        <v>7179</v>
      </c>
      <c r="J17" s="14">
        <v>6822</v>
      </c>
      <c r="K17" s="51" t="s">
        <v>73</v>
      </c>
      <c r="L17" s="26">
        <f t="shared" si="0"/>
        <v>6.1428571428571432</v>
      </c>
      <c r="M17" s="29">
        <f t="shared" si="1"/>
        <v>45727.697674418603</v>
      </c>
      <c r="N17" s="48"/>
    </row>
    <row r="18" spans="1:14" ht="15.75" x14ac:dyDescent="0.25">
      <c r="A18" s="8">
        <v>45688</v>
      </c>
      <c r="B18" s="6">
        <v>7337</v>
      </c>
      <c r="C18" s="6">
        <v>145</v>
      </c>
      <c r="D18" s="6" t="s">
        <v>24</v>
      </c>
      <c r="E18" s="6" t="s">
        <v>58</v>
      </c>
      <c r="F18" s="6" t="s">
        <v>59</v>
      </c>
      <c r="G18" s="7" t="s">
        <v>6</v>
      </c>
      <c r="H18" s="10">
        <v>45642</v>
      </c>
      <c r="I18" s="9">
        <v>7224</v>
      </c>
      <c r="J18" s="5">
        <v>129</v>
      </c>
      <c r="K18" s="54" t="s">
        <v>73</v>
      </c>
      <c r="L18" s="25">
        <f t="shared" si="0"/>
        <v>0.34782608695652173</v>
      </c>
      <c r="M18" s="29">
        <f t="shared" si="1"/>
        <v>46406.75</v>
      </c>
      <c r="N18" s="48"/>
    </row>
    <row r="19" spans="1:14" ht="15.75" x14ac:dyDescent="0.25">
      <c r="A19" s="11"/>
      <c r="B19" s="3"/>
      <c r="C19" s="3"/>
      <c r="D19" s="3"/>
      <c r="E19" s="3"/>
      <c r="F19" s="3"/>
      <c r="G19" s="4"/>
      <c r="H19" s="13"/>
      <c r="I19" s="12"/>
      <c r="J19" s="14"/>
      <c r="K19" s="51"/>
      <c r="L19" s="26" t="e">
        <f t="shared" si="0"/>
        <v>#DIV/0!</v>
      </c>
      <c r="M19" s="29" t="e">
        <f t="shared" si="1"/>
        <v>#DIV/0!</v>
      </c>
      <c r="N19" s="48"/>
    </row>
    <row r="20" spans="1:14" ht="15.75" x14ac:dyDescent="0.25">
      <c r="A20" s="8"/>
      <c r="B20" s="6"/>
      <c r="C20" s="6"/>
      <c r="D20" s="6"/>
      <c r="E20" s="6"/>
      <c r="F20" s="6"/>
      <c r="G20" s="7"/>
      <c r="H20" s="10"/>
      <c r="I20" s="9"/>
      <c r="J20" s="5"/>
      <c r="K20" s="54"/>
      <c r="L20" s="25" t="e">
        <f t="shared" si="0"/>
        <v>#DIV/0!</v>
      </c>
      <c r="M20" s="29" t="e">
        <f t="shared" si="1"/>
        <v>#DIV/0!</v>
      </c>
      <c r="N20" s="48"/>
    </row>
    <row r="21" spans="1:14" ht="15.75" x14ac:dyDescent="0.25">
      <c r="A21" s="11"/>
      <c r="B21" s="3"/>
      <c r="C21" s="3"/>
      <c r="D21" s="3"/>
      <c r="E21" s="3"/>
      <c r="F21" s="3"/>
      <c r="G21" s="4"/>
      <c r="H21" s="13"/>
      <c r="I21" s="12"/>
      <c r="J21" s="14"/>
      <c r="K21" s="51"/>
      <c r="L21" s="26" t="e">
        <f t="shared" si="0"/>
        <v>#DIV/0!</v>
      </c>
      <c r="M21" s="29" t="e">
        <f t="shared" si="1"/>
        <v>#DIV/0!</v>
      </c>
      <c r="N21" s="48"/>
    </row>
    <row r="22" spans="1:14" ht="15.75" x14ac:dyDescent="0.25">
      <c r="A22" s="8"/>
      <c r="B22" s="6"/>
      <c r="C22" s="6"/>
      <c r="D22" s="6"/>
      <c r="E22" s="6"/>
      <c r="F22" s="6"/>
      <c r="G22" s="7"/>
      <c r="H22" s="10"/>
      <c r="I22" s="9"/>
      <c r="J22" s="5"/>
      <c r="K22" s="54"/>
      <c r="L22" s="25" t="e">
        <f t="shared" si="0"/>
        <v>#DIV/0!</v>
      </c>
      <c r="M22" s="29" t="e">
        <f t="shared" si="1"/>
        <v>#DIV/0!</v>
      </c>
      <c r="N22" s="48"/>
    </row>
  </sheetData>
  <mergeCells count="2">
    <mergeCell ref="A2:G2"/>
    <mergeCell ref="H2:L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8"/>
  <sheetViews>
    <sheetView topLeftCell="A4" zoomScale="85" zoomScaleNormal="85" workbookViewId="0">
      <selection activeCell="N23" sqref="N23"/>
    </sheetView>
  </sheetViews>
  <sheetFormatPr baseColWidth="10" defaultRowHeight="15" x14ac:dyDescent="0.25"/>
  <cols>
    <col min="2" max="2" width="9.42578125" bestFit="1" customWidth="1"/>
    <col min="3" max="3" width="6.7109375" bestFit="1" customWidth="1"/>
    <col min="4" max="4" width="11.42578125" customWidth="1"/>
    <col min="5" max="5" width="38.42578125" bestFit="1" customWidth="1"/>
    <col min="6" max="6" width="22" bestFit="1" customWidth="1"/>
    <col min="7" max="7" width="5.5703125" bestFit="1" customWidth="1"/>
    <col min="8" max="8" width="12.5703125" customWidth="1"/>
    <col min="13" max="13" width="20.7109375" customWidth="1"/>
  </cols>
  <sheetData>
    <row r="1" spans="1:14" ht="15.75" thickBot="1" x14ac:dyDescent="0.3"/>
    <row r="2" spans="1:14" ht="19.5" thickBot="1" x14ac:dyDescent="0.35">
      <c r="A2" s="75" t="s">
        <v>16</v>
      </c>
      <c r="B2" s="76"/>
      <c r="C2" s="76"/>
      <c r="D2" s="76"/>
      <c r="E2" s="76"/>
      <c r="F2" s="76"/>
      <c r="G2" s="77"/>
      <c r="H2" s="78" t="s">
        <v>17</v>
      </c>
      <c r="I2" s="79"/>
      <c r="J2" s="79"/>
      <c r="K2" s="79"/>
      <c r="L2" s="80"/>
      <c r="M2" s="28" t="s">
        <v>18</v>
      </c>
    </row>
    <row r="3" spans="1:14" ht="45" x14ac:dyDescent="0.25">
      <c r="A3" s="31" t="s">
        <v>1</v>
      </c>
      <c r="B3" s="32" t="s">
        <v>0</v>
      </c>
      <c r="C3" s="32" t="s">
        <v>10</v>
      </c>
      <c r="D3" s="49" t="s">
        <v>20</v>
      </c>
      <c r="E3" s="32" t="s">
        <v>2</v>
      </c>
      <c r="F3" s="32" t="s">
        <v>4</v>
      </c>
      <c r="G3" s="33" t="s">
        <v>3</v>
      </c>
      <c r="H3" s="35" t="s">
        <v>14</v>
      </c>
      <c r="I3" s="34" t="s">
        <v>19</v>
      </c>
      <c r="J3" s="36" t="s">
        <v>11</v>
      </c>
      <c r="K3" s="55" t="s">
        <v>20</v>
      </c>
      <c r="L3" s="37" t="s">
        <v>12</v>
      </c>
      <c r="M3" s="38" t="s">
        <v>13</v>
      </c>
    </row>
    <row r="4" spans="1:14" ht="15.75" x14ac:dyDescent="0.25">
      <c r="A4" s="8">
        <v>45688</v>
      </c>
      <c r="B4" s="6">
        <v>7336</v>
      </c>
      <c r="C4" s="6">
        <v>4454</v>
      </c>
      <c r="D4" s="6" t="s">
        <v>56</v>
      </c>
      <c r="E4" s="6" t="s">
        <v>31</v>
      </c>
      <c r="F4" s="6" t="s">
        <v>57</v>
      </c>
      <c r="G4" s="7" t="s">
        <v>6</v>
      </c>
      <c r="H4" s="22"/>
      <c r="I4" s="15"/>
      <c r="J4" s="23"/>
      <c r="K4" s="50"/>
      <c r="L4" s="25">
        <f t="shared" ref="L4:L20" si="0">+(C4-J4)/(A4-H4)</f>
        <v>9.7487305200490287E-2</v>
      </c>
      <c r="M4" s="29">
        <f t="shared" ref="M4:M28" si="1">+A4+(250/L4)</f>
        <v>48252.436461607547</v>
      </c>
      <c r="N4" s="71" t="s">
        <v>98</v>
      </c>
    </row>
    <row r="5" spans="1:14" ht="15.75" x14ac:dyDescent="0.25">
      <c r="A5" s="11">
        <v>45694</v>
      </c>
      <c r="B5" s="3">
        <v>7348</v>
      </c>
      <c r="C5" s="3">
        <v>1961</v>
      </c>
      <c r="D5" s="3" t="s">
        <v>53</v>
      </c>
      <c r="E5" s="3" t="s">
        <v>60</v>
      </c>
      <c r="F5" s="3" t="s">
        <v>61</v>
      </c>
      <c r="G5" s="4" t="s">
        <v>6</v>
      </c>
      <c r="H5" s="13">
        <v>45517</v>
      </c>
      <c r="I5" s="39">
        <v>6779</v>
      </c>
      <c r="J5" s="41">
        <v>1517</v>
      </c>
      <c r="K5" s="53" t="s">
        <v>73</v>
      </c>
      <c r="L5" s="26">
        <f t="shared" si="0"/>
        <v>2.5084745762711864</v>
      </c>
      <c r="M5" s="29">
        <f t="shared" si="1"/>
        <v>45793.66216216216</v>
      </c>
      <c r="N5" s="48" t="s">
        <v>98</v>
      </c>
    </row>
    <row r="6" spans="1:14" ht="15.75" x14ac:dyDescent="0.25">
      <c r="A6" s="8">
        <v>45694</v>
      </c>
      <c r="B6" s="6">
        <v>7356</v>
      </c>
      <c r="C6" s="6">
        <v>4166</v>
      </c>
      <c r="D6" s="6" t="s">
        <v>53</v>
      </c>
      <c r="E6" s="6" t="s">
        <v>62</v>
      </c>
      <c r="F6" s="6" t="s">
        <v>63</v>
      </c>
      <c r="G6" s="7" t="s">
        <v>5</v>
      </c>
      <c r="H6" s="22">
        <v>45624</v>
      </c>
      <c r="I6" s="15">
        <v>7144</v>
      </c>
      <c r="J6" s="23">
        <v>3902</v>
      </c>
      <c r="K6" s="50" t="s">
        <v>73</v>
      </c>
      <c r="L6" s="25">
        <f t="shared" si="0"/>
        <v>3.7714285714285714</v>
      </c>
      <c r="M6" s="29">
        <f t="shared" si="1"/>
        <v>45760.28787878788</v>
      </c>
      <c r="N6" s="48" t="s">
        <v>98</v>
      </c>
    </row>
    <row r="7" spans="1:14" ht="15.75" x14ac:dyDescent="0.25">
      <c r="A7" s="11">
        <v>45695</v>
      </c>
      <c r="B7" s="3">
        <v>7358</v>
      </c>
      <c r="C7" s="3">
        <v>4695</v>
      </c>
      <c r="D7" s="3" t="s">
        <v>64</v>
      </c>
      <c r="E7" s="56" t="s">
        <v>9</v>
      </c>
      <c r="F7" s="3" t="s">
        <v>65</v>
      </c>
      <c r="G7" s="4" t="s">
        <v>6</v>
      </c>
      <c r="H7" s="13">
        <v>45485</v>
      </c>
      <c r="I7" s="12">
        <v>6697</v>
      </c>
      <c r="J7" s="14">
        <v>4440</v>
      </c>
      <c r="K7" s="51" t="s">
        <v>73</v>
      </c>
      <c r="L7" s="26">
        <f t="shared" si="0"/>
        <v>1.2142857142857142</v>
      </c>
      <c r="M7" s="29">
        <f t="shared" si="1"/>
        <v>45900.882352941175</v>
      </c>
      <c r="N7" s="48" t="s">
        <v>98</v>
      </c>
    </row>
    <row r="8" spans="1:14" ht="15.75" x14ac:dyDescent="0.25">
      <c r="A8" s="8">
        <v>45698</v>
      </c>
      <c r="B8" s="6">
        <v>7361</v>
      </c>
      <c r="C8" s="42">
        <v>119</v>
      </c>
      <c r="D8" s="42" t="s">
        <v>53</v>
      </c>
      <c r="E8" s="61" t="s">
        <v>66</v>
      </c>
      <c r="F8" s="6" t="s">
        <v>67</v>
      </c>
      <c r="G8" s="7" t="s">
        <v>5</v>
      </c>
      <c r="H8" s="10" t="s">
        <v>90</v>
      </c>
      <c r="I8" s="9" t="s">
        <v>90</v>
      </c>
      <c r="J8" s="43" t="s">
        <v>90</v>
      </c>
      <c r="K8" s="72" t="s">
        <v>90</v>
      </c>
      <c r="L8" s="25" t="e">
        <f t="shared" si="0"/>
        <v>#VALUE!</v>
      </c>
      <c r="M8" s="29" t="e">
        <f t="shared" si="1"/>
        <v>#VALUE!</v>
      </c>
      <c r="N8" s="48" t="s">
        <v>98</v>
      </c>
    </row>
    <row r="9" spans="1:14" ht="15.75" x14ac:dyDescent="0.25">
      <c r="A9" s="11">
        <v>45699</v>
      </c>
      <c r="B9" s="3">
        <v>7371</v>
      </c>
      <c r="C9" s="44">
        <v>928</v>
      </c>
      <c r="D9" s="44" t="s">
        <v>50</v>
      </c>
      <c r="E9" s="3" t="s">
        <v>68</v>
      </c>
      <c r="F9" s="3" t="s">
        <v>69</v>
      </c>
      <c r="G9" s="4" t="s">
        <v>6</v>
      </c>
      <c r="H9" s="40">
        <v>45624</v>
      </c>
      <c r="I9" s="39">
        <v>7146</v>
      </c>
      <c r="J9" s="41">
        <v>548</v>
      </c>
      <c r="K9" s="53" t="s">
        <v>53</v>
      </c>
      <c r="L9" s="26">
        <f t="shared" si="0"/>
        <v>5.0666666666666664</v>
      </c>
      <c r="M9" s="29">
        <f t="shared" si="1"/>
        <v>45748.34210526316</v>
      </c>
      <c r="N9" s="48" t="s">
        <v>159</v>
      </c>
    </row>
    <row r="10" spans="1:14" ht="15.75" x14ac:dyDescent="0.25">
      <c r="A10" s="8">
        <v>45699</v>
      </c>
      <c r="B10" s="6">
        <v>7372</v>
      </c>
      <c r="C10" s="6">
        <v>7765</v>
      </c>
      <c r="D10" s="6" t="s">
        <v>50</v>
      </c>
      <c r="E10" s="6" t="s">
        <v>68</v>
      </c>
      <c r="F10" s="6" t="s">
        <v>70</v>
      </c>
      <c r="G10" s="7" t="s">
        <v>6</v>
      </c>
      <c r="H10" s="22">
        <v>45624</v>
      </c>
      <c r="I10" s="15">
        <v>7147</v>
      </c>
      <c r="J10" s="23">
        <v>7432</v>
      </c>
      <c r="K10" s="50" t="s">
        <v>53</v>
      </c>
      <c r="L10" s="25">
        <f t="shared" si="0"/>
        <v>4.4400000000000004</v>
      </c>
      <c r="M10" s="29">
        <f t="shared" si="1"/>
        <v>45755.306306306309</v>
      </c>
      <c r="N10" s="48" t="s">
        <v>159</v>
      </c>
    </row>
    <row r="11" spans="1:14" ht="15.75" x14ac:dyDescent="0.25">
      <c r="A11" s="11">
        <v>45700</v>
      </c>
      <c r="B11" s="3">
        <v>7379</v>
      </c>
      <c r="C11" s="44">
        <v>6529</v>
      </c>
      <c r="D11" s="44" t="s">
        <v>53</v>
      </c>
      <c r="E11" s="3" t="s">
        <v>71</v>
      </c>
      <c r="F11" s="3" t="s">
        <v>72</v>
      </c>
      <c r="G11" s="4" t="s">
        <v>6</v>
      </c>
      <c r="H11" s="40">
        <v>45639</v>
      </c>
      <c r="I11" s="39">
        <v>7217</v>
      </c>
      <c r="J11" s="41">
        <v>6129</v>
      </c>
      <c r="K11" s="53" t="s">
        <v>96</v>
      </c>
      <c r="L11" s="26">
        <f t="shared" si="0"/>
        <v>6.557377049180328</v>
      </c>
      <c r="M11" s="29">
        <f t="shared" si="1"/>
        <v>45738.125</v>
      </c>
      <c r="N11" s="48" t="s">
        <v>158</v>
      </c>
    </row>
    <row r="12" spans="1:14" ht="15.75" x14ac:dyDescent="0.25">
      <c r="A12" s="8">
        <v>45701</v>
      </c>
      <c r="B12" s="6">
        <v>7381</v>
      </c>
      <c r="C12" s="45">
        <v>1274</v>
      </c>
      <c r="D12" s="45" t="s">
        <v>73</v>
      </c>
      <c r="E12" s="6" t="s">
        <v>74</v>
      </c>
      <c r="F12" s="6" t="s">
        <v>75</v>
      </c>
      <c r="G12" s="7" t="s">
        <v>6</v>
      </c>
      <c r="H12" s="22">
        <v>45342</v>
      </c>
      <c r="I12" s="15">
        <v>6317</v>
      </c>
      <c r="J12" s="23">
        <v>1013</v>
      </c>
      <c r="K12" s="50" t="s">
        <v>56</v>
      </c>
      <c r="L12" s="25">
        <f t="shared" si="0"/>
        <v>0.72701949860724235</v>
      </c>
      <c r="M12" s="29">
        <f t="shared" si="1"/>
        <v>46044.869731800769</v>
      </c>
      <c r="N12" s="48" t="s">
        <v>98</v>
      </c>
    </row>
    <row r="13" spans="1:14" ht="15.75" x14ac:dyDescent="0.25">
      <c r="A13" s="11">
        <v>45702</v>
      </c>
      <c r="B13" s="3">
        <v>7390</v>
      </c>
      <c r="C13" s="3">
        <v>5035</v>
      </c>
      <c r="D13" s="3" t="s">
        <v>56</v>
      </c>
      <c r="E13" s="3" t="s">
        <v>76</v>
      </c>
      <c r="F13" s="3" t="s">
        <v>77</v>
      </c>
      <c r="G13" s="4" t="s">
        <v>5</v>
      </c>
      <c r="H13" s="40" t="s">
        <v>90</v>
      </c>
      <c r="I13" s="39" t="s">
        <v>90</v>
      </c>
      <c r="J13" s="41" t="s">
        <v>90</v>
      </c>
      <c r="K13" s="53" t="s">
        <v>90</v>
      </c>
      <c r="L13" s="26" t="e">
        <f t="shared" si="0"/>
        <v>#VALUE!</v>
      </c>
      <c r="M13" s="29" t="e">
        <f t="shared" si="1"/>
        <v>#VALUE!</v>
      </c>
      <c r="N13" s="48"/>
    </row>
    <row r="14" spans="1:14" ht="15.75" x14ac:dyDescent="0.25">
      <c r="A14" s="8">
        <v>45702</v>
      </c>
      <c r="B14" s="6">
        <v>7391</v>
      </c>
      <c r="C14" s="6">
        <v>3907</v>
      </c>
      <c r="D14" s="6" t="s">
        <v>56</v>
      </c>
      <c r="E14" s="6" t="s">
        <v>76</v>
      </c>
      <c r="F14" s="6" t="s">
        <v>78</v>
      </c>
      <c r="G14" s="7" t="s">
        <v>5</v>
      </c>
      <c r="H14" s="10" t="s">
        <v>90</v>
      </c>
      <c r="I14" s="9" t="s">
        <v>90</v>
      </c>
      <c r="J14" s="5" t="s">
        <v>90</v>
      </c>
      <c r="K14" s="54" t="s">
        <v>90</v>
      </c>
      <c r="L14" s="25" t="e">
        <f t="shared" si="0"/>
        <v>#VALUE!</v>
      </c>
      <c r="M14" s="29" t="e">
        <f t="shared" si="1"/>
        <v>#VALUE!</v>
      </c>
      <c r="N14" s="48"/>
    </row>
    <row r="15" spans="1:14" ht="15.75" x14ac:dyDescent="0.25">
      <c r="A15" s="11">
        <v>45706</v>
      </c>
      <c r="B15" s="3">
        <v>7404</v>
      </c>
      <c r="C15" s="44">
        <v>17692</v>
      </c>
      <c r="D15" s="44" t="s">
        <v>73</v>
      </c>
      <c r="E15" s="3" t="s">
        <v>79</v>
      </c>
      <c r="F15" s="3">
        <v>1711</v>
      </c>
      <c r="G15" s="4" t="s">
        <v>5</v>
      </c>
      <c r="H15" s="40">
        <v>45455</v>
      </c>
      <c r="I15" s="39">
        <v>6599</v>
      </c>
      <c r="J15" s="41">
        <v>17385</v>
      </c>
      <c r="K15" s="53" t="s">
        <v>97</v>
      </c>
      <c r="L15" s="25">
        <f t="shared" ref="L15" si="2">+(C15-J15)/(A15-H15)</f>
        <v>1.2231075697211156</v>
      </c>
      <c r="M15" s="29">
        <f>+A15+(250/L15)</f>
        <v>45910.397394136809</v>
      </c>
      <c r="N15" s="48" t="s">
        <v>98</v>
      </c>
    </row>
    <row r="16" spans="1:14" ht="15.75" x14ac:dyDescent="0.25">
      <c r="A16" s="8">
        <v>45709</v>
      </c>
      <c r="B16" s="6">
        <v>7410</v>
      </c>
      <c r="C16" s="6">
        <v>12255</v>
      </c>
      <c r="D16" s="6" t="s">
        <v>73</v>
      </c>
      <c r="E16" s="6" t="s">
        <v>62</v>
      </c>
      <c r="F16" s="6" t="s">
        <v>80</v>
      </c>
      <c r="G16" s="7" t="s">
        <v>5</v>
      </c>
      <c r="H16" s="10">
        <v>45621</v>
      </c>
      <c r="I16" s="9">
        <v>7126</v>
      </c>
      <c r="J16" s="5">
        <v>11934</v>
      </c>
      <c r="K16" s="54" t="s">
        <v>56</v>
      </c>
      <c r="L16" s="25">
        <f t="shared" si="0"/>
        <v>3.6477272727272729</v>
      </c>
      <c r="M16" s="29">
        <f t="shared" si="1"/>
        <v>45777.535825545172</v>
      </c>
      <c r="N16" s="48" t="s">
        <v>160</v>
      </c>
    </row>
    <row r="17" spans="1:14" ht="15.75" x14ac:dyDescent="0.25">
      <c r="A17" s="11">
        <v>45712</v>
      </c>
      <c r="B17" s="3">
        <v>7415</v>
      </c>
      <c r="C17" s="3">
        <v>1351</v>
      </c>
      <c r="D17" s="60" t="s">
        <v>56</v>
      </c>
      <c r="E17" s="3" t="s">
        <v>81</v>
      </c>
      <c r="F17" s="3" t="s">
        <v>82</v>
      </c>
      <c r="G17" s="4" t="s">
        <v>5</v>
      </c>
      <c r="H17" s="13">
        <v>44896</v>
      </c>
      <c r="I17" s="12">
        <v>5242</v>
      </c>
      <c r="J17" s="14">
        <v>8</v>
      </c>
      <c r="K17" s="51" t="s">
        <v>90</v>
      </c>
      <c r="L17" s="26">
        <f t="shared" si="0"/>
        <v>1.6458333333333333</v>
      </c>
      <c r="M17" s="29">
        <f>+A17+(1000/L17)</f>
        <v>46319.594936708861</v>
      </c>
      <c r="N17" s="48" t="s">
        <v>98</v>
      </c>
    </row>
    <row r="18" spans="1:14" ht="15.75" x14ac:dyDescent="0.25">
      <c r="A18" s="8">
        <v>45713</v>
      </c>
      <c r="B18" s="6">
        <v>7419</v>
      </c>
      <c r="C18" s="6">
        <v>2274</v>
      </c>
      <c r="D18" s="6" t="s">
        <v>53</v>
      </c>
      <c r="E18" s="6" t="s">
        <v>83</v>
      </c>
      <c r="F18" s="6" t="s">
        <v>84</v>
      </c>
      <c r="G18" s="7" t="s">
        <v>6</v>
      </c>
      <c r="H18" s="10">
        <v>45343</v>
      </c>
      <c r="I18" s="9">
        <v>6319</v>
      </c>
      <c r="J18" s="5">
        <v>2188</v>
      </c>
      <c r="K18" s="54" t="s">
        <v>73</v>
      </c>
      <c r="L18" s="25">
        <f t="shared" si="0"/>
        <v>0.23243243243243245</v>
      </c>
      <c r="M18" s="29">
        <f t="shared" si="1"/>
        <v>46788.58139534884</v>
      </c>
      <c r="N18" s="48" t="s">
        <v>98</v>
      </c>
    </row>
    <row r="19" spans="1:14" ht="15.75" x14ac:dyDescent="0.25">
      <c r="A19" s="11">
        <v>45713</v>
      </c>
      <c r="B19" s="3">
        <v>7420</v>
      </c>
      <c r="C19" s="3">
        <v>2620</v>
      </c>
      <c r="D19" s="3" t="s">
        <v>53</v>
      </c>
      <c r="E19" s="3" t="s">
        <v>85</v>
      </c>
      <c r="F19" s="3" t="s">
        <v>86</v>
      </c>
      <c r="G19" s="4" t="s">
        <v>6</v>
      </c>
      <c r="H19" s="13">
        <v>45595</v>
      </c>
      <c r="I19" s="12">
        <v>7042</v>
      </c>
      <c r="J19" s="14">
        <v>2354</v>
      </c>
      <c r="K19" s="51" t="s">
        <v>73</v>
      </c>
      <c r="L19" s="26">
        <f t="shared" si="0"/>
        <v>2.2542372881355934</v>
      </c>
      <c r="M19" s="29">
        <f t="shared" si="1"/>
        <v>45823.902255639099</v>
      </c>
      <c r="N19" s="48" t="s">
        <v>98</v>
      </c>
    </row>
    <row r="20" spans="1:14" ht="15.75" x14ac:dyDescent="0.25">
      <c r="A20" s="8">
        <v>45714</v>
      </c>
      <c r="B20" s="6">
        <v>7425</v>
      </c>
      <c r="C20" s="6">
        <v>240</v>
      </c>
      <c r="D20" s="6" t="s">
        <v>56</v>
      </c>
      <c r="E20" s="6" t="s">
        <v>85</v>
      </c>
      <c r="F20" s="6" t="s">
        <v>87</v>
      </c>
      <c r="G20" s="7" t="s">
        <v>6</v>
      </c>
      <c r="H20" s="10">
        <v>45453</v>
      </c>
      <c r="I20" s="9">
        <v>6592</v>
      </c>
      <c r="J20" s="5">
        <v>958</v>
      </c>
      <c r="K20" s="54" t="s">
        <v>50</v>
      </c>
      <c r="L20" s="25">
        <f t="shared" si="0"/>
        <v>-2.7509578544061304</v>
      </c>
      <c r="M20" s="29">
        <f t="shared" si="1"/>
        <v>45623.122562674092</v>
      </c>
      <c r="N20" s="48" t="s">
        <v>98</v>
      </c>
    </row>
    <row r="21" spans="1:14" ht="15.75" x14ac:dyDescent="0.25">
      <c r="A21" s="11">
        <v>45714</v>
      </c>
      <c r="B21" s="3">
        <v>7426</v>
      </c>
      <c r="C21" s="3">
        <v>3482</v>
      </c>
      <c r="D21" s="3" t="s">
        <v>56</v>
      </c>
      <c r="E21" s="3" t="s">
        <v>88</v>
      </c>
      <c r="F21" s="3" t="s">
        <v>89</v>
      </c>
      <c r="G21" s="4" t="s">
        <v>6</v>
      </c>
      <c r="H21" s="13">
        <v>44748</v>
      </c>
      <c r="I21" s="12">
        <v>4820</v>
      </c>
      <c r="J21" s="14">
        <v>3363</v>
      </c>
      <c r="K21" s="51" t="s">
        <v>73</v>
      </c>
      <c r="L21" s="26">
        <f>+(C21-J21)/(A21-H21)</f>
        <v>0.12318840579710146</v>
      </c>
      <c r="M21" s="29">
        <f t="shared" si="1"/>
        <v>47743.411764705881</v>
      </c>
      <c r="N21" s="48" t="s">
        <v>98</v>
      </c>
    </row>
    <row r="22" spans="1:14" ht="15.75" x14ac:dyDescent="0.25">
      <c r="A22" s="8">
        <v>45715</v>
      </c>
      <c r="B22" s="6">
        <v>7427</v>
      </c>
      <c r="C22" s="6" t="s">
        <v>90</v>
      </c>
      <c r="D22" s="6" t="s">
        <v>56</v>
      </c>
      <c r="E22" s="6" t="s">
        <v>29</v>
      </c>
      <c r="F22" s="6" t="s">
        <v>91</v>
      </c>
      <c r="G22" s="7" t="s">
        <v>6</v>
      </c>
      <c r="H22" s="10" t="s">
        <v>90</v>
      </c>
      <c r="I22" s="9" t="s">
        <v>90</v>
      </c>
      <c r="J22" s="5" t="s">
        <v>90</v>
      </c>
      <c r="K22" s="54" t="s">
        <v>90</v>
      </c>
      <c r="L22" s="54" t="e">
        <f t="shared" ref="L22:L28" si="3">+(C22-J22)/(A22-H22)</f>
        <v>#VALUE!</v>
      </c>
      <c r="M22" s="29" t="e">
        <f t="shared" si="1"/>
        <v>#VALUE!</v>
      </c>
      <c r="N22" s="48" t="s">
        <v>98</v>
      </c>
    </row>
    <row r="23" spans="1:14" ht="15.75" x14ac:dyDescent="0.25">
      <c r="A23" s="11">
        <v>45715</v>
      </c>
      <c r="B23" s="3">
        <v>7429</v>
      </c>
      <c r="C23" s="3">
        <v>108</v>
      </c>
      <c r="D23" s="3" t="s">
        <v>24</v>
      </c>
      <c r="E23" s="3" t="s">
        <v>92</v>
      </c>
      <c r="F23" s="3" t="s">
        <v>93</v>
      </c>
      <c r="G23" s="4" t="s">
        <v>6</v>
      </c>
      <c r="H23" s="13">
        <v>45673</v>
      </c>
      <c r="I23" s="12">
        <v>7287</v>
      </c>
      <c r="J23" s="14">
        <v>84</v>
      </c>
      <c r="K23" s="51" t="s">
        <v>90</v>
      </c>
      <c r="L23" s="51">
        <f t="shared" si="3"/>
        <v>0.5714285714285714</v>
      </c>
      <c r="M23" s="29">
        <f t="shared" si="1"/>
        <v>46152.5</v>
      </c>
      <c r="N23" s="48" t="s">
        <v>161</v>
      </c>
    </row>
    <row r="24" spans="1:14" ht="15.75" x14ac:dyDescent="0.25">
      <c r="A24" s="8">
        <v>45715</v>
      </c>
      <c r="B24" s="6">
        <v>7431</v>
      </c>
      <c r="C24" s="6">
        <v>3987</v>
      </c>
      <c r="D24" s="6" t="s">
        <v>56</v>
      </c>
      <c r="E24" s="6" t="s">
        <v>51</v>
      </c>
      <c r="F24" s="6" t="s">
        <v>52</v>
      </c>
      <c r="G24" s="7" t="s">
        <v>6</v>
      </c>
      <c r="H24" s="10">
        <v>45687</v>
      </c>
      <c r="I24" s="9">
        <v>7332</v>
      </c>
      <c r="J24" s="5">
        <v>3723</v>
      </c>
      <c r="K24" s="54" t="s">
        <v>50</v>
      </c>
      <c r="L24" s="54">
        <f t="shared" si="3"/>
        <v>9.4285714285714288</v>
      </c>
      <c r="M24" s="29">
        <f t="shared" si="1"/>
        <v>45741.515151515152</v>
      </c>
      <c r="N24" s="48" t="s">
        <v>162</v>
      </c>
    </row>
    <row r="25" spans="1:14" ht="15.75" x14ac:dyDescent="0.25">
      <c r="A25" s="11">
        <v>45714</v>
      </c>
      <c r="B25" s="3">
        <v>7432</v>
      </c>
      <c r="C25" s="3">
        <v>30906</v>
      </c>
      <c r="D25" s="3" t="s">
        <v>56</v>
      </c>
      <c r="E25" s="3" t="s">
        <v>34</v>
      </c>
      <c r="F25" s="3" t="s">
        <v>94</v>
      </c>
      <c r="G25" s="4" t="s">
        <v>6</v>
      </c>
      <c r="H25" s="13">
        <v>45411</v>
      </c>
      <c r="I25" s="12">
        <v>6525</v>
      </c>
      <c r="J25" s="14">
        <v>30218</v>
      </c>
      <c r="K25" s="51"/>
      <c r="L25" s="51">
        <f t="shared" si="3"/>
        <v>2.2706270627062706</v>
      </c>
      <c r="M25" s="29">
        <f t="shared" si="1"/>
        <v>45824.101744186046</v>
      </c>
      <c r="N25" s="48" t="s">
        <v>98</v>
      </c>
    </row>
    <row r="26" spans="1:14" ht="15.75" x14ac:dyDescent="0.25">
      <c r="A26" s="8"/>
      <c r="B26" s="6"/>
      <c r="C26" s="6"/>
      <c r="D26" s="6"/>
      <c r="E26" s="6"/>
      <c r="F26" s="6"/>
      <c r="G26" s="7"/>
      <c r="H26" s="10"/>
      <c r="I26" s="9"/>
      <c r="J26" s="5"/>
      <c r="K26" s="54"/>
      <c r="L26" s="54" t="e">
        <f t="shared" si="3"/>
        <v>#DIV/0!</v>
      </c>
      <c r="M26" s="29" t="e">
        <f t="shared" si="1"/>
        <v>#DIV/0!</v>
      </c>
      <c r="N26" s="48"/>
    </row>
    <row r="27" spans="1:14" ht="15.75" x14ac:dyDescent="0.25">
      <c r="A27" s="11"/>
      <c r="B27" s="3"/>
      <c r="C27" s="3"/>
      <c r="D27" s="3"/>
      <c r="E27" s="3"/>
      <c r="F27" s="3"/>
      <c r="G27" s="4"/>
      <c r="H27" s="13"/>
      <c r="I27" s="12"/>
      <c r="J27" s="14"/>
      <c r="K27" s="51"/>
      <c r="L27" s="51" t="e">
        <f t="shared" si="3"/>
        <v>#DIV/0!</v>
      </c>
      <c r="M27" s="29" t="e">
        <f t="shared" si="1"/>
        <v>#DIV/0!</v>
      </c>
      <c r="N27" s="48"/>
    </row>
    <row r="28" spans="1:14" ht="15.75" x14ac:dyDescent="0.25">
      <c r="A28" s="8"/>
      <c r="B28" s="6"/>
      <c r="C28" s="6"/>
      <c r="D28" s="6"/>
      <c r="E28" s="6"/>
      <c r="F28" s="6"/>
      <c r="G28" s="7"/>
      <c r="H28" s="10"/>
      <c r="I28" s="9"/>
      <c r="J28" s="5"/>
      <c r="K28" s="54"/>
      <c r="L28" s="54" t="e">
        <f t="shared" si="3"/>
        <v>#DIV/0!</v>
      </c>
      <c r="M28" s="29" t="e">
        <f t="shared" si="1"/>
        <v>#DIV/0!</v>
      </c>
      <c r="N28" s="48"/>
    </row>
  </sheetData>
  <mergeCells count="2">
    <mergeCell ref="A2:G2"/>
    <mergeCell ref="H2:L2"/>
  </mergeCells>
  <pageMargins left="0.7" right="0.7" top="0.75" bottom="0.75" header="0.3" footer="0.3"/>
  <pageSetup paperSize="9" orientation="portrait" verticalDpi="0" r:id="rId1"/>
  <ignoredErrors>
    <ignoredError sqref="L15" evalError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opLeftCell="C14" zoomScale="85" zoomScaleNormal="85" workbookViewId="0">
      <selection activeCell="N22" sqref="N22"/>
    </sheetView>
  </sheetViews>
  <sheetFormatPr baseColWidth="10" defaultRowHeight="15" x14ac:dyDescent="0.25"/>
  <cols>
    <col min="1" max="1" width="10.42578125" style="1" bestFit="1" customWidth="1"/>
    <col min="2" max="2" width="10.42578125" bestFit="1" customWidth="1"/>
    <col min="3" max="3" width="6.5703125" style="2" bestFit="1" customWidth="1"/>
    <col min="4" max="4" width="11.5703125" bestFit="1" customWidth="1"/>
    <col min="5" max="5" width="43" bestFit="1" customWidth="1"/>
    <col min="6" max="6" width="21.42578125" bestFit="1" customWidth="1"/>
    <col min="7" max="7" width="9.42578125" bestFit="1" customWidth="1"/>
    <col min="8" max="8" width="13" customWidth="1"/>
    <col min="10" max="10" width="6.28515625" bestFit="1" customWidth="1"/>
    <col min="13" max="13" width="20.7109375" bestFit="1" customWidth="1"/>
    <col min="14" max="14" width="24" customWidth="1"/>
  </cols>
  <sheetData>
    <row r="1" spans="1:14" ht="15.75" thickBot="1" x14ac:dyDescent="0.3"/>
    <row r="2" spans="1:14" ht="19.5" thickBot="1" x14ac:dyDescent="0.35">
      <c r="A2" s="75" t="s">
        <v>16</v>
      </c>
      <c r="B2" s="76"/>
      <c r="C2" s="76"/>
      <c r="D2" s="76"/>
      <c r="E2" s="76"/>
      <c r="F2" s="76"/>
      <c r="G2" s="77"/>
      <c r="H2" s="78" t="s">
        <v>17</v>
      </c>
      <c r="I2" s="79"/>
      <c r="J2" s="79"/>
      <c r="K2" s="79"/>
      <c r="L2" s="80"/>
      <c r="M2" s="28" t="s">
        <v>18</v>
      </c>
    </row>
    <row r="3" spans="1:14" ht="45" x14ac:dyDescent="0.25">
      <c r="A3" s="31" t="s">
        <v>1</v>
      </c>
      <c r="B3" s="32" t="s">
        <v>0</v>
      </c>
      <c r="C3" s="32" t="s">
        <v>10</v>
      </c>
      <c r="D3" s="49" t="s">
        <v>20</v>
      </c>
      <c r="E3" s="32" t="s">
        <v>2</v>
      </c>
      <c r="F3" s="32" t="s">
        <v>4</v>
      </c>
      <c r="G3" s="33" t="s">
        <v>3</v>
      </c>
      <c r="H3" s="35" t="s">
        <v>14</v>
      </c>
      <c r="I3" s="34" t="s">
        <v>19</v>
      </c>
      <c r="J3" s="36" t="s">
        <v>11</v>
      </c>
      <c r="K3" s="55" t="s">
        <v>20</v>
      </c>
      <c r="L3" s="37" t="s">
        <v>12</v>
      </c>
      <c r="M3" s="38" t="s">
        <v>13</v>
      </c>
    </row>
    <row r="4" spans="1:14" ht="15.75" x14ac:dyDescent="0.25">
      <c r="A4" s="8">
        <v>45716</v>
      </c>
      <c r="B4" s="6">
        <v>7434</v>
      </c>
      <c r="C4" s="6">
        <v>9327</v>
      </c>
      <c r="D4" s="6" t="s">
        <v>56</v>
      </c>
      <c r="E4" s="6" t="s">
        <v>51</v>
      </c>
      <c r="F4" s="6" t="s">
        <v>99</v>
      </c>
      <c r="G4" s="7" t="s">
        <v>100</v>
      </c>
      <c r="H4" s="22"/>
      <c r="I4" s="15"/>
      <c r="J4" s="23"/>
      <c r="K4" s="50"/>
      <c r="L4" s="25">
        <f t="shared" ref="L4:L17" si="0">+(C4-J4)/(A4-H4)</f>
        <v>0.20402047423221628</v>
      </c>
      <c r="M4" s="29">
        <f t="shared" ref="M4:M17" si="1">+A4+(250/L4)</f>
        <v>46941.367213466277</v>
      </c>
      <c r="N4" s="48"/>
    </row>
    <row r="5" spans="1:14" ht="15.75" x14ac:dyDescent="0.25">
      <c r="A5" s="11">
        <v>45716</v>
      </c>
      <c r="B5" s="3">
        <v>7435</v>
      </c>
      <c r="C5" s="3">
        <v>111</v>
      </c>
      <c r="D5" s="3" t="s">
        <v>24</v>
      </c>
      <c r="E5" s="3" t="s">
        <v>101</v>
      </c>
      <c r="F5" s="3" t="s">
        <v>102</v>
      </c>
      <c r="G5" s="4" t="s">
        <v>100</v>
      </c>
      <c r="H5" s="13">
        <v>45629</v>
      </c>
      <c r="I5" s="39">
        <v>7165</v>
      </c>
      <c r="J5" s="41">
        <v>43</v>
      </c>
      <c r="K5" s="53"/>
      <c r="L5" s="26">
        <f>+(C5-J5)/(A5-H5)</f>
        <v>0.7816091954022989</v>
      </c>
      <c r="M5" s="29">
        <f>+A5+(150/L5)</f>
        <v>45907.911764705881</v>
      </c>
      <c r="N5" s="48" t="s">
        <v>98</v>
      </c>
    </row>
    <row r="6" spans="1:14" ht="15.75" x14ac:dyDescent="0.25">
      <c r="A6" s="8">
        <v>45716</v>
      </c>
      <c r="B6" s="6">
        <v>7436</v>
      </c>
      <c r="C6" s="6">
        <v>156</v>
      </c>
      <c r="D6" s="6"/>
      <c r="E6" s="6" t="s">
        <v>58</v>
      </c>
      <c r="F6" s="6" t="s">
        <v>59</v>
      </c>
      <c r="G6" s="7" t="s">
        <v>100</v>
      </c>
      <c r="H6" s="22"/>
      <c r="I6" s="15"/>
      <c r="J6" s="23"/>
      <c r="K6" s="50"/>
      <c r="L6" s="25">
        <f t="shared" si="0"/>
        <v>3.4123720360486483E-3</v>
      </c>
      <c r="M6" s="29">
        <f t="shared" si="1"/>
        <v>118978.82051282052</v>
      </c>
      <c r="N6" s="48" t="s">
        <v>164</v>
      </c>
    </row>
    <row r="7" spans="1:14" ht="15.75" x14ac:dyDescent="0.25">
      <c r="A7" s="11">
        <v>45722</v>
      </c>
      <c r="B7" s="3">
        <v>7446</v>
      </c>
      <c r="C7" s="44">
        <v>7008</v>
      </c>
      <c r="D7" s="3" t="s">
        <v>73</v>
      </c>
      <c r="E7" s="3" t="s">
        <v>37</v>
      </c>
      <c r="F7" s="3" t="s">
        <v>38</v>
      </c>
      <c r="G7" s="4" t="s">
        <v>100</v>
      </c>
      <c r="H7" s="13"/>
      <c r="I7" s="12"/>
      <c r="J7" s="14"/>
      <c r="K7" s="51"/>
      <c r="L7" s="26">
        <f t="shared" si="0"/>
        <v>0.15327413498972048</v>
      </c>
      <c r="M7" s="29">
        <f t="shared" si="1"/>
        <v>47353.064497716892</v>
      </c>
      <c r="N7" s="48" t="s">
        <v>163</v>
      </c>
    </row>
    <row r="8" spans="1:14" ht="15.75" x14ac:dyDescent="0.25">
      <c r="A8" s="8">
        <v>45722</v>
      </c>
      <c r="B8" s="6">
        <v>7447</v>
      </c>
      <c r="C8" s="42">
        <v>2258</v>
      </c>
      <c r="D8" s="42" t="s">
        <v>45</v>
      </c>
      <c r="E8" s="6" t="s">
        <v>103</v>
      </c>
      <c r="F8" s="6" t="s">
        <v>104</v>
      </c>
      <c r="G8" s="7" t="s">
        <v>100</v>
      </c>
      <c r="H8" s="10">
        <v>45584</v>
      </c>
      <c r="I8" s="9">
        <v>5117</v>
      </c>
      <c r="J8" s="43">
        <v>1460</v>
      </c>
      <c r="K8" s="52" t="s">
        <v>53</v>
      </c>
      <c r="L8" s="25">
        <f t="shared" si="0"/>
        <v>5.7826086956521738</v>
      </c>
      <c r="M8" s="29">
        <f t="shared" si="1"/>
        <v>45765.233082706764</v>
      </c>
      <c r="N8" s="48"/>
    </row>
    <row r="9" spans="1:14" ht="15.75" x14ac:dyDescent="0.25">
      <c r="A9" s="11">
        <v>45723</v>
      </c>
      <c r="B9" s="3">
        <v>7448</v>
      </c>
      <c r="C9" s="44">
        <v>416</v>
      </c>
      <c r="D9" s="44" t="s">
        <v>73</v>
      </c>
      <c r="E9" s="3" t="s">
        <v>105</v>
      </c>
      <c r="F9" s="3" t="s">
        <v>106</v>
      </c>
      <c r="G9" s="4" t="s">
        <v>100</v>
      </c>
      <c r="H9" s="40">
        <v>45100</v>
      </c>
      <c r="I9" s="39">
        <v>5757</v>
      </c>
      <c r="J9" s="41">
        <v>162</v>
      </c>
      <c r="K9" s="53" t="s">
        <v>56</v>
      </c>
      <c r="L9" s="26">
        <f t="shared" si="0"/>
        <v>0.40770465489566615</v>
      </c>
      <c r="M9" s="29">
        <f>+A9+(250/L9)</f>
        <v>46336.188976377955</v>
      </c>
      <c r="N9" s="48" t="s">
        <v>98</v>
      </c>
    </row>
    <row r="10" spans="1:14" ht="15.75" x14ac:dyDescent="0.25">
      <c r="A10" s="8">
        <v>45723</v>
      </c>
      <c r="B10" s="6">
        <v>7452</v>
      </c>
      <c r="C10" s="6">
        <v>666</v>
      </c>
      <c r="D10" s="6" t="s">
        <v>73</v>
      </c>
      <c r="E10" s="6" t="s">
        <v>105</v>
      </c>
      <c r="F10" s="6" t="s">
        <v>107</v>
      </c>
      <c r="G10" s="7" t="s">
        <v>100</v>
      </c>
      <c r="H10" s="22">
        <v>44946</v>
      </c>
      <c r="I10" s="15">
        <v>5351</v>
      </c>
      <c r="J10" s="23">
        <v>267</v>
      </c>
      <c r="K10" s="50" t="s">
        <v>73</v>
      </c>
      <c r="L10" s="25">
        <f t="shared" si="0"/>
        <v>0.51351351351351349</v>
      </c>
      <c r="M10" s="29">
        <f t="shared" si="1"/>
        <v>46209.84210526316</v>
      </c>
      <c r="N10" s="48" t="s">
        <v>98</v>
      </c>
    </row>
    <row r="11" spans="1:14" ht="15.75" x14ac:dyDescent="0.25">
      <c r="A11" s="11">
        <v>45727</v>
      </c>
      <c r="B11" s="3">
        <v>7458</v>
      </c>
      <c r="C11" s="44" t="s">
        <v>90</v>
      </c>
      <c r="D11" s="44" t="s">
        <v>56</v>
      </c>
      <c r="E11" s="3" t="s">
        <v>108</v>
      </c>
      <c r="F11" s="3" t="s">
        <v>109</v>
      </c>
      <c r="G11" s="4" t="s">
        <v>100</v>
      </c>
      <c r="H11" s="40" t="s">
        <v>90</v>
      </c>
      <c r="I11" s="39" t="s">
        <v>90</v>
      </c>
      <c r="J11" s="41" t="s">
        <v>90</v>
      </c>
      <c r="K11" s="53" t="s">
        <v>90</v>
      </c>
      <c r="L11" s="26" t="e">
        <f t="shared" si="0"/>
        <v>#VALUE!</v>
      </c>
      <c r="M11" s="29" t="e">
        <f t="shared" si="1"/>
        <v>#VALUE!</v>
      </c>
      <c r="N11" s="48" t="s">
        <v>98</v>
      </c>
    </row>
    <row r="12" spans="1:14" ht="15.75" x14ac:dyDescent="0.25">
      <c r="A12" s="8">
        <v>45727</v>
      </c>
      <c r="B12" s="6">
        <v>7459</v>
      </c>
      <c r="C12" s="45">
        <v>281</v>
      </c>
      <c r="D12" s="45" t="s">
        <v>73</v>
      </c>
      <c r="E12" s="6" t="s">
        <v>110</v>
      </c>
      <c r="F12" s="6" t="s">
        <v>111</v>
      </c>
      <c r="G12" s="7" t="s">
        <v>100</v>
      </c>
      <c r="H12" s="22">
        <v>45336</v>
      </c>
      <c r="I12" s="15">
        <v>6300</v>
      </c>
      <c r="J12" s="23">
        <v>113</v>
      </c>
      <c r="K12" s="50" t="s">
        <v>24</v>
      </c>
      <c r="L12" s="25">
        <f t="shared" si="0"/>
        <v>0.42966751918158569</v>
      </c>
      <c r="M12" s="29">
        <f>+A12+(250/L12)</f>
        <v>46308.845238095237</v>
      </c>
      <c r="N12" s="48" t="s">
        <v>98</v>
      </c>
    </row>
    <row r="13" spans="1:14" ht="15.75" x14ac:dyDescent="0.25">
      <c r="A13" s="11">
        <v>45729</v>
      </c>
      <c r="B13" s="3">
        <v>7465</v>
      </c>
      <c r="C13" s="3">
        <v>3275</v>
      </c>
      <c r="D13" s="3" t="s">
        <v>56</v>
      </c>
      <c r="E13" s="3" t="s">
        <v>112</v>
      </c>
      <c r="F13" s="3" t="s">
        <v>113</v>
      </c>
      <c r="G13" s="4" t="s">
        <v>100</v>
      </c>
      <c r="H13" s="40">
        <v>45616</v>
      </c>
      <c r="I13" s="39">
        <v>7102</v>
      </c>
      <c r="J13" s="41">
        <v>2880</v>
      </c>
      <c r="K13" s="53" t="s">
        <v>50</v>
      </c>
      <c r="L13" s="26">
        <f t="shared" si="0"/>
        <v>3.4955752212389379</v>
      </c>
      <c r="M13" s="29">
        <f t="shared" si="1"/>
        <v>45800.518987341769</v>
      </c>
      <c r="N13" s="48" t="s">
        <v>98</v>
      </c>
    </row>
    <row r="14" spans="1:14" ht="15.75" x14ac:dyDescent="0.25">
      <c r="A14" s="8">
        <v>45730</v>
      </c>
      <c r="B14" s="6">
        <v>7473</v>
      </c>
      <c r="C14" s="6">
        <v>1637</v>
      </c>
      <c r="D14" s="6" t="s">
        <v>114</v>
      </c>
      <c r="E14" s="6" t="s">
        <v>115</v>
      </c>
      <c r="F14" s="6" t="s">
        <v>116</v>
      </c>
      <c r="G14" s="7" t="s">
        <v>100</v>
      </c>
      <c r="H14" s="10">
        <v>45546</v>
      </c>
      <c r="I14" s="9">
        <v>6863</v>
      </c>
      <c r="J14" s="5">
        <v>1388</v>
      </c>
      <c r="K14" s="54" t="s">
        <v>73</v>
      </c>
      <c r="L14" s="25">
        <f t="shared" si="0"/>
        <v>1.3532608695652173</v>
      </c>
      <c r="M14" s="29">
        <f t="shared" si="1"/>
        <v>45914.73895582329</v>
      </c>
      <c r="N14" s="48" t="s">
        <v>98</v>
      </c>
    </row>
    <row r="15" spans="1:14" ht="15.75" x14ac:dyDescent="0.25">
      <c r="A15" s="11">
        <v>45735</v>
      </c>
      <c r="B15" s="3">
        <v>7495</v>
      </c>
      <c r="C15" s="44">
        <v>263</v>
      </c>
      <c r="D15" s="44" t="s">
        <v>117</v>
      </c>
      <c r="E15" s="3" t="s">
        <v>118</v>
      </c>
      <c r="F15" s="3" t="s">
        <v>119</v>
      </c>
      <c r="G15" s="4" t="s">
        <v>100</v>
      </c>
      <c r="H15" s="40">
        <v>45649</v>
      </c>
      <c r="I15" s="39"/>
      <c r="J15" s="41">
        <v>2</v>
      </c>
      <c r="K15" s="53"/>
      <c r="L15" s="26">
        <f t="shared" si="0"/>
        <v>3.0348837209302326</v>
      </c>
      <c r="M15" s="29">
        <f t="shared" si="1"/>
        <v>45817.375478927206</v>
      </c>
      <c r="N15" s="48" t="s">
        <v>98</v>
      </c>
    </row>
    <row r="16" spans="1:14" ht="15.75" x14ac:dyDescent="0.25">
      <c r="A16" s="8">
        <v>45737</v>
      </c>
      <c r="B16" s="6">
        <v>7505</v>
      </c>
      <c r="C16" s="6">
        <v>878</v>
      </c>
      <c r="D16" s="6" t="s">
        <v>50</v>
      </c>
      <c r="E16" s="6" t="s">
        <v>120</v>
      </c>
      <c r="F16" s="6" t="s">
        <v>121</v>
      </c>
      <c r="G16" s="7" t="s">
        <v>100</v>
      </c>
      <c r="H16" s="10">
        <v>45279</v>
      </c>
      <c r="I16" s="9">
        <v>6197</v>
      </c>
      <c r="J16" s="5">
        <v>231</v>
      </c>
      <c r="K16" s="54" t="s">
        <v>73</v>
      </c>
      <c r="L16" s="25">
        <f t="shared" si="0"/>
        <v>1.4126637554585153</v>
      </c>
      <c r="M16" s="29">
        <f t="shared" si="1"/>
        <v>45913.970633693971</v>
      </c>
      <c r="N16" s="48" t="s">
        <v>98</v>
      </c>
    </row>
    <row r="17" spans="1:14" ht="15.75" x14ac:dyDescent="0.25">
      <c r="A17" s="11">
        <v>45744</v>
      </c>
      <c r="B17" s="3">
        <v>7541</v>
      </c>
      <c r="C17" s="3">
        <v>666</v>
      </c>
      <c r="D17" s="44" t="s">
        <v>53</v>
      </c>
      <c r="E17" s="3" t="s">
        <v>122</v>
      </c>
      <c r="F17" s="3" t="s">
        <v>123</v>
      </c>
      <c r="G17" s="4" t="s">
        <v>100</v>
      </c>
      <c r="H17" s="13"/>
      <c r="I17" s="12"/>
      <c r="J17" s="14"/>
      <c r="K17" s="51"/>
      <c r="L17" s="26">
        <f t="shared" si="0"/>
        <v>1.455928646379853E-2</v>
      </c>
      <c r="M17" s="29">
        <f t="shared" si="1"/>
        <v>62915.171171171169</v>
      </c>
      <c r="N17" s="48"/>
    </row>
    <row r="18" spans="1:14" ht="15.75" x14ac:dyDescent="0.25">
      <c r="A18" s="8">
        <v>45744</v>
      </c>
      <c r="B18" s="6">
        <v>7542</v>
      </c>
      <c r="C18" s="6">
        <v>760</v>
      </c>
      <c r="D18" s="6" t="s">
        <v>53</v>
      </c>
      <c r="E18" s="6" t="s">
        <v>122</v>
      </c>
      <c r="F18" s="6" t="s">
        <v>124</v>
      </c>
      <c r="G18" s="7" t="s">
        <v>100</v>
      </c>
      <c r="H18" s="10">
        <v>45623</v>
      </c>
      <c r="I18" s="9">
        <v>7140</v>
      </c>
      <c r="J18" s="5">
        <v>350</v>
      </c>
      <c r="K18" s="54" t="s">
        <v>73</v>
      </c>
      <c r="L18" s="25">
        <f t="shared" ref="L18:L25" si="2">+(C18-J18)/(A18-H18)</f>
        <v>3.3884297520661155</v>
      </c>
      <c r="M18" s="29">
        <f t="shared" ref="M18:M25" si="3">+A18+(250/L18)</f>
        <v>45817.780487804877</v>
      </c>
      <c r="N18" s="48"/>
    </row>
    <row r="19" spans="1:14" ht="15.75" x14ac:dyDescent="0.25">
      <c r="A19" s="11">
        <v>45744</v>
      </c>
      <c r="B19" s="3">
        <v>7543</v>
      </c>
      <c r="C19" s="3">
        <v>110</v>
      </c>
      <c r="D19" s="3" t="s">
        <v>24</v>
      </c>
      <c r="E19" s="3" t="s">
        <v>125</v>
      </c>
      <c r="F19" s="3" t="s">
        <v>126</v>
      </c>
      <c r="G19" s="4" t="s">
        <v>100</v>
      </c>
      <c r="H19" s="13">
        <v>45691</v>
      </c>
      <c r="I19" s="12">
        <v>7368</v>
      </c>
      <c r="J19" s="14">
        <v>2</v>
      </c>
      <c r="K19" s="51"/>
      <c r="L19" s="26">
        <f t="shared" si="2"/>
        <v>2.0377358490566038</v>
      </c>
      <c r="M19" s="29">
        <f>+A19+(150/L19)</f>
        <v>45817.611111111109</v>
      </c>
      <c r="N19" s="48" t="s">
        <v>98</v>
      </c>
    </row>
    <row r="20" spans="1:14" ht="15.75" x14ac:dyDescent="0.25">
      <c r="A20" s="8">
        <v>45747</v>
      </c>
      <c r="B20" s="6">
        <v>7545</v>
      </c>
      <c r="C20" s="6">
        <v>1215</v>
      </c>
      <c r="D20" s="6" t="s">
        <v>73</v>
      </c>
      <c r="E20" s="6" t="s">
        <v>127</v>
      </c>
      <c r="F20" s="6" t="s">
        <v>128</v>
      </c>
      <c r="G20" s="7" t="s">
        <v>100</v>
      </c>
      <c r="H20" s="10">
        <v>45403</v>
      </c>
      <c r="I20" s="9">
        <v>6318</v>
      </c>
      <c r="J20" s="5">
        <v>1024</v>
      </c>
      <c r="K20" s="54" t="s">
        <v>56</v>
      </c>
      <c r="L20" s="25">
        <f t="shared" si="2"/>
        <v>0.55523255813953487</v>
      </c>
      <c r="M20" s="29">
        <f t="shared" si="3"/>
        <v>46197.261780104709</v>
      </c>
      <c r="N20" s="48" t="s">
        <v>98</v>
      </c>
    </row>
    <row r="21" spans="1:14" ht="15.75" x14ac:dyDescent="0.25">
      <c r="A21" s="11">
        <v>45747</v>
      </c>
      <c r="B21" s="3">
        <v>7550</v>
      </c>
      <c r="C21" s="3">
        <v>1407</v>
      </c>
      <c r="D21" s="3" t="s">
        <v>96</v>
      </c>
      <c r="E21" s="3" t="s">
        <v>129</v>
      </c>
      <c r="F21" s="3" t="s">
        <v>130</v>
      </c>
      <c r="G21" s="4" t="s">
        <v>100</v>
      </c>
      <c r="H21" s="13">
        <v>45478</v>
      </c>
      <c r="I21" s="12">
        <v>6666</v>
      </c>
      <c r="J21" s="14">
        <v>1122</v>
      </c>
      <c r="K21" s="51" t="s">
        <v>56</v>
      </c>
      <c r="L21" s="26">
        <f t="shared" si="2"/>
        <v>1.0594795539033457</v>
      </c>
      <c r="M21" s="29">
        <f t="shared" si="3"/>
        <v>45982.964912280702</v>
      </c>
      <c r="N21" s="48" t="s">
        <v>98</v>
      </c>
    </row>
    <row r="22" spans="1:14" ht="15.75" x14ac:dyDescent="0.25">
      <c r="A22" s="8"/>
      <c r="B22" s="6"/>
      <c r="C22" s="6"/>
      <c r="D22" s="6"/>
      <c r="E22" s="6"/>
      <c r="F22" s="6"/>
      <c r="G22" s="7"/>
      <c r="H22" s="10"/>
      <c r="I22" s="9"/>
      <c r="J22" s="5"/>
      <c r="K22" s="54"/>
      <c r="L22" s="25" t="e">
        <f t="shared" si="2"/>
        <v>#DIV/0!</v>
      </c>
      <c r="M22" s="29" t="e">
        <f t="shared" si="3"/>
        <v>#DIV/0!</v>
      </c>
      <c r="N22" s="48"/>
    </row>
    <row r="23" spans="1:14" ht="15.75" x14ac:dyDescent="0.25">
      <c r="A23" s="11"/>
      <c r="B23" s="3"/>
      <c r="C23" s="3"/>
      <c r="D23" s="44"/>
      <c r="E23" s="3"/>
      <c r="F23" s="3"/>
      <c r="G23" s="4"/>
      <c r="H23" s="13"/>
      <c r="I23" s="12"/>
      <c r="J23" s="14"/>
      <c r="K23" s="51"/>
      <c r="L23" s="26" t="e">
        <f t="shared" si="2"/>
        <v>#DIV/0!</v>
      </c>
      <c r="M23" s="29" t="e">
        <f t="shared" si="3"/>
        <v>#DIV/0!</v>
      </c>
      <c r="N23" s="48"/>
    </row>
    <row r="24" spans="1:14" ht="15.75" x14ac:dyDescent="0.25">
      <c r="A24" s="8"/>
      <c r="B24" s="6"/>
      <c r="C24" s="6"/>
      <c r="D24" s="61"/>
      <c r="E24" s="6"/>
      <c r="F24" s="6"/>
      <c r="G24" s="7"/>
      <c r="H24" s="10"/>
      <c r="I24" s="9"/>
      <c r="J24" s="5"/>
      <c r="K24" s="54"/>
      <c r="L24" s="25" t="e">
        <f t="shared" si="2"/>
        <v>#DIV/0!</v>
      </c>
      <c r="M24" s="29" t="e">
        <f t="shared" si="3"/>
        <v>#DIV/0!</v>
      </c>
      <c r="N24" s="48"/>
    </row>
    <row r="25" spans="1:14" ht="15.75" x14ac:dyDescent="0.25">
      <c r="A25" s="11"/>
      <c r="B25" s="3"/>
      <c r="C25" s="3"/>
      <c r="D25" s="3"/>
      <c r="E25" s="3"/>
      <c r="F25" s="3"/>
      <c r="G25" s="4"/>
      <c r="H25" s="13"/>
      <c r="I25" s="12"/>
      <c r="J25" s="14"/>
      <c r="K25" s="51"/>
      <c r="L25" s="26" t="e">
        <f t="shared" si="2"/>
        <v>#DIV/0!</v>
      </c>
      <c r="M25" s="29" t="e">
        <f t="shared" si="3"/>
        <v>#DIV/0!</v>
      </c>
      <c r="N25" s="48"/>
    </row>
    <row r="26" spans="1:14" ht="15.75" x14ac:dyDescent="0.25">
      <c r="A26" s="8"/>
      <c r="B26" s="6"/>
      <c r="C26" s="6"/>
      <c r="D26" s="61"/>
      <c r="E26" s="6"/>
      <c r="F26" s="6"/>
      <c r="G26" s="7"/>
      <c r="H26" s="10"/>
      <c r="I26" s="9"/>
      <c r="J26" s="5"/>
      <c r="K26" s="54"/>
      <c r="L26" s="25" t="e">
        <f t="shared" ref="L26:L32" si="4">+(C26-J26)/(A26-H26)</f>
        <v>#DIV/0!</v>
      </c>
      <c r="M26" s="29" t="e">
        <f t="shared" ref="M26:M32" si="5">+A26+(250/L26)</f>
        <v>#DIV/0!</v>
      </c>
    </row>
    <row r="27" spans="1:14" ht="15.75" x14ac:dyDescent="0.25">
      <c r="A27" s="11"/>
      <c r="B27" s="3"/>
      <c r="C27" s="3"/>
      <c r="D27" s="3"/>
      <c r="E27" s="3"/>
      <c r="F27" s="3"/>
      <c r="G27" s="4"/>
      <c r="H27" s="13"/>
      <c r="I27" s="12"/>
      <c r="J27" s="14"/>
      <c r="K27" s="51"/>
      <c r="L27" s="26" t="e">
        <f t="shared" si="4"/>
        <v>#DIV/0!</v>
      </c>
      <c r="M27" s="29" t="e">
        <f t="shared" si="5"/>
        <v>#DIV/0!</v>
      </c>
    </row>
    <row r="28" spans="1:14" ht="15.75" x14ac:dyDescent="0.25">
      <c r="A28" s="8"/>
      <c r="B28" s="6"/>
      <c r="C28" s="6"/>
      <c r="D28" s="61"/>
      <c r="E28" s="6"/>
      <c r="F28" s="6"/>
      <c r="G28" s="7"/>
      <c r="H28" s="10"/>
      <c r="I28" s="9"/>
      <c r="J28" s="5"/>
      <c r="K28" s="54"/>
      <c r="L28" s="25" t="e">
        <f t="shared" si="4"/>
        <v>#DIV/0!</v>
      </c>
      <c r="M28" s="29" t="e">
        <f t="shared" si="5"/>
        <v>#DIV/0!</v>
      </c>
      <c r="N28" s="62" t="s">
        <v>25</v>
      </c>
    </row>
    <row r="29" spans="1:14" ht="15.75" x14ac:dyDescent="0.25">
      <c r="A29" s="11"/>
      <c r="B29" s="57"/>
      <c r="C29" s="3"/>
      <c r="D29" s="3"/>
      <c r="E29" s="3"/>
      <c r="F29" s="3"/>
      <c r="G29" s="4"/>
      <c r="H29" s="13"/>
      <c r="I29" s="12"/>
      <c r="J29" s="14"/>
      <c r="K29" s="51"/>
      <c r="L29" s="26" t="e">
        <f t="shared" si="4"/>
        <v>#DIV/0!</v>
      </c>
      <c r="M29" s="29" t="e">
        <f t="shared" si="5"/>
        <v>#DIV/0!</v>
      </c>
    </row>
    <row r="30" spans="1:14" ht="15.75" x14ac:dyDescent="0.25">
      <c r="A30" s="8"/>
      <c r="B30" s="6"/>
      <c r="C30" s="6"/>
      <c r="D30" s="61"/>
      <c r="E30" s="6"/>
      <c r="F30" s="6"/>
      <c r="G30" s="7"/>
      <c r="H30" s="10"/>
      <c r="I30" s="9"/>
      <c r="J30" s="5"/>
      <c r="K30" s="54"/>
      <c r="L30" s="25" t="e">
        <f t="shared" si="4"/>
        <v>#DIV/0!</v>
      </c>
      <c r="M30" s="29" t="e">
        <f t="shared" si="5"/>
        <v>#DIV/0!</v>
      </c>
    </row>
    <row r="31" spans="1:14" ht="15.75" x14ac:dyDescent="0.25">
      <c r="A31" s="11"/>
      <c r="B31" s="3"/>
      <c r="C31" s="3"/>
      <c r="D31" s="3"/>
      <c r="E31" s="3"/>
      <c r="F31" s="3"/>
      <c r="G31" s="4"/>
      <c r="H31" s="13"/>
      <c r="I31" s="12"/>
      <c r="J31" s="14"/>
      <c r="K31" s="51"/>
      <c r="L31" s="26" t="e">
        <f t="shared" si="4"/>
        <v>#DIV/0!</v>
      </c>
      <c r="M31" s="29" t="e">
        <f t="shared" si="5"/>
        <v>#DIV/0!</v>
      </c>
    </row>
    <row r="32" spans="1:14" ht="15.75" x14ac:dyDescent="0.25">
      <c r="A32" s="8"/>
      <c r="B32" s="6"/>
      <c r="C32" s="6"/>
      <c r="D32" s="61"/>
      <c r="E32" s="6"/>
      <c r="F32" s="6"/>
      <c r="G32" s="7"/>
      <c r="H32" s="10"/>
      <c r="I32" s="9"/>
      <c r="J32" s="5"/>
      <c r="K32" s="54"/>
      <c r="L32" s="25" t="e">
        <f t="shared" si="4"/>
        <v>#DIV/0!</v>
      </c>
      <c r="M32" s="29" t="e">
        <f t="shared" si="5"/>
        <v>#DIV/0!</v>
      </c>
    </row>
    <row r="33" spans="1:13" ht="15.75" x14ac:dyDescent="0.25">
      <c r="A33" s="11"/>
      <c r="B33" s="3"/>
      <c r="C33" s="3"/>
      <c r="D33" s="3"/>
      <c r="E33" s="3"/>
      <c r="F33" s="3"/>
      <c r="G33" s="4"/>
      <c r="H33" s="13"/>
      <c r="I33" s="12"/>
      <c r="J33" s="14"/>
      <c r="K33" s="51"/>
      <c r="L33" s="26" t="e">
        <f t="shared" ref="L33:L36" si="6">+(C33-J33)/(A33-H33)</f>
        <v>#DIV/0!</v>
      </c>
      <c r="M33" s="29" t="e">
        <f t="shared" ref="M33:M36" si="7">+A33+(250/L33)</f>
        <v>#DIV/0!</v>
      </c>
    </row>
    <row r="34" spans="1:13" ht="15.75" x14ac:dyDescent="0.25">
      <c r="A34" s="8"/>
      <c r="B34" s="6"/>
      <c r="C34" s="6"/>
      <c r="D34" s="61"/>
      <c r="E34" s="6"/>
      <c r="F34" s="6"/>
      <c r="G34" s="7"/>
      <c r="H34" s="10"/>
      <c r="I34" s="9"/>
      <c r="J34" s="5"/>
      <c r="K34" s="54"/>
      <c r="L34" s="25" t="e">
        <f t="shared" si="6"/>
        <v>#DIV/0!</v>
      </c>
      <c r="M34" s="29" t="e">
        <f t="shared" si="7"/>
        <v>#DIV/0!</v>
      </c>
    </row>
    <row r="35" spans="1:13" ht="15.75" x14ac:dyDescent="0.25">
      <c r="A35" s="11"/>
      <c r="B35" s="3"/>
      <c r="C35" s="3"/>
      <c r="D35" s="3"/>
      <c r="E35" s="3"/>
      <c r="F35" s="3"/>
      <c r="G35" s="4"/>
      <c r="H35" s="13"/>
      <c r="I35" s="12"/>
      <c r="J35" s="14"/>
      <c r="K35" s="51"/>
      <c r="L35" s="26" t="e">
        <f t="shared" si="6"/>
        <v>#DIV/0!</v>
      </c>
      <c r="M35" s="29" t="e">
        <f t="shared" si="7"/>
        <v>#DIV/0!</v>
      </c>
    </row>
    <row r="36" spans="1:13" ht="15.75" x14ac:dyDescent="0.25">
      <c r="A36" s="8"/>
      <c r="B36" s="6"/>
      <c r="C36" s="6"/>
      <c r="D36" s="61"/>
      <c r="E36" s="6"/>
      <c r="F36" s="6"/>
      <c r="G36" s="7"/>
      <c r="H36" s="10"/>
      <c r="I36" s="9"/>
      <c r="J36" s="5"/>
      <c r="K36" s="54"/>
      <c r="L36" s="25" t="e">
        <f t="shared" si="6"/>
        <v>#DIV/0!</v>
      </c>
      <c r="M36" s="29" t="e">
        <f t="shared" si="7"/>
        <v>#DIV/0!</v>
      </c>
    </row>
  </sheetData>
  <autoFilter ref="A3:N25"/>
  <mergeCells count="2">
    <mergeCell ref="A2:G2"/>
    <mergeCell ref="H2:L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zoomScale="85" zoomScaleNormal="85" workbookViewId="0">
      <selection activeCell="D1" sqref="D1:D1048576"/>
    </sheetView>
  </sheetViews>
  <sheetFormatPr baseColWidth="10" defaultRowHeight="15" x14ac:dyDescent="0.25"/>
  <cols>
    <col min="1" max="1" width="10.42578125" bestFit="1" customWidth="1"/>
    <col min="2" max="2" width="9.42578125" bestFit="1" customWidth="1"/>
    <col min="3" max="3" width="6.7109375" bestFit="1" customWidth="1"/>
    <col min="4" max="4" width="11.5703125" bestFit="1" customWidth="1"/>
    <col min="5" max="5" width="39.140625" bestFit="1" customWidth="1"/>
    <col min="6" max="6" width="20.28515625" bestFit="1" customWidth="1"/>
    <col min="7" max="7" width="6.7109375" customWidth="1"/>
    <col min="8" max="8" width="12.42578125" customWidth="1"/>
    <col min="9" max="9" width="10.42578125" bestFit="1" customWidth="1"/>
    <col min="10" max="10" width="6.28515625" bestFit="1" customWidth="1"/>
    <col min="11" max="11" width="11.5703125" customWidth="1"/>
    <col min="13" max="13" width="20.140625" customWidth="1"/>
    <col min="14" max="14" width="24" bestFit="1" customWidth="1"/>
  </cols>
  <sheetData>
    <row r="1" spans="1:14" ht="15.75" thickBot="1" x14ac:dyDescent="0.3"/>
    <row r="2" spans="1:14" ht="19.5" thickBot="1" x14ac:dyDescent="0.35">
      <c r="A2" s="75" t="s">
        <v>16</v>
      </c>
      <c r="B2" s="76"/>
      <c r="C2" s="76"/>
      <c r="D2" s="76"/>
      <c r="E2" s="76"/>
      <c r="F2" s="76"/>
      <c r="G2" s="77"/>
      <c r="H2" s="78" t="s">
        <v>17</v>
      </c>
      <c r="I2" s="79"/>
      <c r="J2" s="79"/>
      <c r="K2" s="79"/>
      <c r="L2" s="80"/>
      <c r="M2" s="28" t="s">
        <v>18</v>
      </c>
    </row>
    <row r="3" spans="1:14" ht="45" x14ac:dyDescent="0.25">
      <c r="A3" s="31" t="s">
        <v>1</v>
      </c>
      <c r="B3" s="32" t="s">
        <v>0</v>
      </c>
      <c r="C3" s="32" t="s">
        <v>10</v>
      </c>
      <c r="D3" s="49" t="s">
        <v>20</v>
      </c>
      <c r="E3" s="32" t="s">
        <v>2</v>
      </c>
      <c r="F3" s="32" t="s">
        <v>4</v>
      </c>
      <c r="G3" s="33" t="s">
        <v>3</v>
      </c>
      <c r="H3" s="35" t="s">
        <v>14</v>
      </c>
      <c r="I3" s="34" t="s">
        <v>19</v>
      </c>
      <c r="J3" s="36" t="s">
        <v>11</v>
      </c>
      <c r="K3" s="55" t="s">
        <v>20</v>
      </c>
      <c r="L3" s="37" t="s">
        <v>12</v>
      </c>
      <c r="M3" s="38" t="s">
        <v>13</v>
      </c>
    </row>
    <row r="4" spans="1:14" ht="15.75" x14ac:dyDescent="0.25">
      <c r="A4" s="8">
        <v>45748</v>
      </c>
      <c r="B4" s="6">
        <v>7549</v>
      </c>
      <c r="C4" s="6">
        <v>165</v>
      </c>
      <c r="D4" s="6" t="s">
        <v>131</v>
      </c>
      <c r="E4" s="6" t="s">
        <v>58</v>
      </c>
      <c r="F4" s="6" t="s">
        <v>59</v>
      </c>
      <c r="G4" s="7" t="s">
        <v>6</v>
      </c>
      <c r="H4" s="22"/>
      <c r="I4" s="15"/>
      <c r="J4" s="23"/>
      <c r="K4" s="50"/>
      <c r="L4" s="25">
        <f t="shared" ref="L4:L37" si="0">+(C4-J4)/(A4-H4)</f>
        <v>3.6067150476523564E-3</v>
      </c>
      <c r="M4" s="29">
        <f t="shared" ref="M4:M37" si="1">+A4+(250/L4)</f>
        <v>115063.15151515152</v>
      </c>
      <c r="N4" s="48" t="s">
        <v>165</v>
      </c>
    </row>
    <row r="5" spans="1:14" ht="15.75" x14ac:dyDescent="0.25">
      <c r="A5" s="11">
        <v>45750</v>
      </c>
      <c r="B5" s="3">
        <v>7556</v>
      </c>
      <c r="C5" s="3">
        <v>9394</v>
      </c>
      <c r="D5" s="3" t="s">
        <v>50</v>
      </c>
      <c r="E5" s="3" t="s">
        <v>35</v>
      </c>
      <c r="F5" s="3" t="s">
        <v>132</v>
      </c>
      <c r="G5" s="4" t="s">
        <v>6</v>
      </c>
      <c r="H5" s="13">
        <v>45596</v>
      </c>
      <c r="I5" s="39">
        <v>7046</v>
      </c>
      <c r="J5" s="41">
        <v>8927</v>
      </c>
      <c r="K5" s="53" t="s">
        <v>73</v>
      </c>
      <c r="L5" s="26">
        <f t="shared" si="0"/>
        <v>3.0324675324675323</v>
      </c>
      <c r="M5" s="29">
        <f t="shared" si="1"/>
        <v>45832.441113490364</v>
      </c>
      <c r="N5" s="48" t="s">
        <v>98</v>
      </c>
    </row>
    <row r="6" spans="1:14" ht="15.75" x14ac:dyDescent="0.25">
      <c r="A6" s="8">
        <v>45751</v>
      </c>
      <c r="B6" s="6">
        <v>7559</v>
      </c>
      <c r="C6" s="6">
        <v>7546</v>
      </c>
      <c r="D6" s="6" t="s">
        <v>50</v>
      </c>
      <c r="E6" s="6" t="s">
        <v>51</v>
      </c>
      <c r="F6" s="6" t="s">
        <v>55</v>
      </c>
      <c r="G6" s="7" t="s">
        <v>6</v>
      </c>
      <c r="H6" s="22">
        <v>45687</v>
      </c>
      <c r="I6" s="15">
        <v>7334</v>
      </c>
      <c r="J6" s="23">
        <v>7166</v>
      </c>
      <c r="K6" s="50" t="s">
        <v>53</v>
      </c>
      <c r="L6" s="25">
        <f t="shared" si="0"/>
        <v>5.9375</v>
      </c>
      <c r="M6" s="29">
        <f t="shared" si="1"/>
        <v>45793.105263157893</v>
      </c>
      <c r="N6" s="48" t="s">
        <v>166</v>
      </c>
    </row>
    <row r="7" spans="1:14" ht="15.75" x14ac:dyDescent="0.25">
      <c r="A7" s="11">
        <v>45751</v>
      </c>
      <c r="B7" s="3">
        <v>7560</v>
      </c>
      <c r="C7" s="3">
        <v>12089</v>
      </c>
      <c r="D7" s="3" t="s">
        <v>50</v>
      </c>
      <c r="E7" s="3" t="s">
        <v>51</v>
      </c>
      <c r="F7" s="3" t="s">
        <v>133</v>
      </c>
      <c r="G7" s="4" t="s">
        <v>6</v>
      </c>
      <c r="H7" s="13">
        <v>45631</v>
      </c>
      <c r="I7" s="12">
        <v>7178</v>
      </c>
      <c r="J7" s="14">
        <v>11747</v>
      </c>
      <c r="K7" s="51" t="s">
        <v>53</v>
      </c>
      <c r="L7" s="26">
        <f t="shared" si="0"/>
        <v>2.85</v>
      </c>
      <c r="M7" s="29">
        <f t="shared" si="1"/>
        <v>45838.719298245611</v>
      </c>
      <c r="N7" s="48" t="s">
        <v>98</v>
      </c>
    </row>
    <row r="8" spans="1:14" ht="15.75" x14ac:dyDescent="0.25">
      <c r="A8" s="8">
        <v>45751</v>
      </c>
      <c r="B8" s="6">
        <v>7561</v>
      </c>
      <c r="C8" s="42">
        <v>4306</v>
      </c>
      <c r="D8" s="42" t="s">
        <v>73</v>
      </c>
      <c r="E8" s="6" t="s">
        <v>51</v>
      </c>
      <c r="F8" s="6" t="s">
        <v>52</v>
      </c>
      <c r="G8" s="7" t="s">
        <v>6</v>
      </c>
      <c r="H8" s="10">
        <v>45715</v>
      </c>
      <c r="I8" s="9">
        <v>7431</v>
      </c>
      <c r="J8" s="43">
        <v>3987</v>
      </c>
      <c r="K8" s="52" t="s">
        <v>56</v>
      </c>
      <c r="L8" s="25">
        <f t="shared" si="0"/>
        <v>8.8611111111111107</v>
      </c>
      <c r="M8" s="29">
        <f t="shared" si="1"/>
        <v>45779.213166144204</v>
      </c>
      <c r="N8" s="48" t="s">
        <v>167</v>
      </c>
    </row>
    <row r="9" spans="1:14" ht="15.75" x14ac:dyDescent="0.25">
      <c r="A9" s="11">
        <v>45754</v>
      </c>
      <c r="B9" s="3">
        <v>7568</v>
      </c>
      <c r="C9" s="44">
        <v>2782</v>
      </c>
      <c r="D9" s="44" t="s">
        <v>53</v>
      </c>
      <c r="E9" s="3" t="s">
        <v>31</v>
      </c>
      <c r="F9" s="3" t="s">
        <v>32</v>
      </c>
      <c r="G9" s="4" t="s">
        <v>6</v>
      </c>
      <c r="H9" s="40">
        <v>45672</v>
      </c>
      <c r="I9" s="39">
        <v>7281</v>
      </c>
      <c r="J9" s="41">
        <v>2439</v>
      </c>
      <c r="K9" s="53" t="s">
        <v>73</v>
      </c>
      <c r="L9" s="26">
        <f t="shared" si="0"/>
        <v>4.1829268292682924</v>
      </c>
      <c r="M9" s="29">
        <f t="shared" si="1"/>
        <v>45813.766763848398</v>
      </c>
      <c r="N9" s="48" t="s">
        <v>98</v>
      </c>
    </row>
    <row r="10" spans="1:14" ht="15.75" x14ac:dyDescent="0.25">
      <c r="A10" s="8">
        <v>45755</v>
      </c>
      <c r="B10" s="6">
        <v>7580</v>
      </c>
      <c r="C10" s="6">
        <v>4127</v>
      </c>
      <c r="D10" s="6" t="s">
        <v>73</v>
      </c>
      <c r="E10" s="6" t="s">
        <v>134</v>
      </c>
      <c r="F10" s="6" t="s">
        <v>135</v>
      </c>
      <c r="G10" s="7" t="s">
        <v>6</v>
      </c>
      <c r="H10" s="22">
        <v>45630</v>
      </c>
      <c r="I10" s="15">
        <v>7175</v>
      </c>
      <c r="J10" s="23">
        <v>3886</v>
      </c>
      <c r="K10" s="50" t="s">
        <v>56</v>
      </c>
      <c r="L10" s="25">
        <f t="shared" si="0"/>
        <v>1.9279999999999999</v>
      </c>
      <c r="M10" s="29">
        <f>+A10+(59/L10)</f>
        <v>45785.601659751039</v>
      </c>
      <c r="N10" s="48" t="s">
        <v>98</v>
      </c>
    </row>
    <row r="11" spans="1:14" ht="15.75" x14ac:dyDescent="0.25">
      <c r="A11" s="11">
        <v>45761</v>
      </c>
      <c r="B11" s="3">
        <v>7601</v>
      </c>
      <c r="C11" s="44">
        <v>6714</v>
      </c>
      <c r="D11" s="44" t="s">
        <v>56</v>
      </c>
      <c r="E11" s="3" t="s">
        <v>136</v>
      </c>
      <c r="F11" s="3" t="s">
        <v>137</v>
      </c>
      <c r="G11" s="4" t="s">
        <v>5</v>
      </c>
      <c r="H11" s="40" t="s">
        <v>90</v>
      </c>
      <c r="I11" s="39" t="s">
        <v>90</v>
      </c>
      <c r="J11" s="41" t="s">
        <v>90</v>
      </c>
      <c r="K11" s="53" t="s">
        <v>90</v>
      </c>
      <c r="L11" s="26" t="e">
        <f t="shared" si="0"/>
        <v>#VALUE!</v>
      </c>
      <c r="M11" s="29" t="e">
        <f t="shared" si="1"/>
        <v>#VALUE!</v>
      </c>
      <c r="N11" s="48" t="s">
        <v>98</v>
      </c>
    </row>
    <row r="12" spans="1:14" ht="15.75" x14ac:dyDescent="0.25">
      <c r="A12" s="8">
        <v>45763</v>
      </c>
      <c r="B12" s="6">
        <v>7607</v>
      </c>
      <c r="C12" s="45">
        <v>15448</v>
      </c>
      <c r="D12" s="45" t="s">
        <v>96</v>
      </c>
      <c r="E12" s="6" t="s">
        <v>28</v>
      </c>
      <c r="F12" s="6">
        <v>2894</v>
      </c>
      <c r="G12" s="7" t="s">
        <v>6</v>
      </c>
      <c r="H12" s="22">
        <v>45677</v>
      </c>
      <c r="I12" s="15">
        <v>7297</v>
      </c>
      <c r="J12" s="23">
        <v>15184</v>
      </c>
      <c r="K12" s="50" t="s">
        <v>56</v>
      </c>
      <c r="L12" s="25">
        <f t="shared" si="0"/>
        <v>3.0697674418604652</v>
      </c>
      <c r="M12" s="29">
        <f t="shared" si="1"/>
        <v>45844.439393939392</v>
      </c>
      <c r="N12" s="48" t="s">
        <v>98</v>
      </c>
    </row>
    <row r="13" spans="1:14" ht="15.75" x14ac:dyDescent="0.25">
      <c r="A13" s="11">
        <v>45763</v>
      </c>
      <c r="B13" s="3">
        <v>7608</v>
      </c>
      <c r="C13" s="3">
        <v>5893</v>
      </c>
      <c r="D13" s="3" t="s">
        <v>96</v>
      </c>
      <c r="E13" s="60" t="s">
        <v>51</v>
      </c>
      <c r="F13" s="3" t="s">
        <v>138</v>
      </c>
      <c r="G13" s="4" t="s">
        <v>6</v>
      </c>
      <c r="H13" s="40">
        <v>45761</v>
      </c>
      <c r="I13" s="39">
        <v>7600</v>
      </c>
      <c r="J13" s="41">
        <v>5883</v>
      </c>
      <c r="K13" s="53"/>
      <c r="L13" s="26">
        <f t="shared" si="0"/>
        <v>5</v>
      </c>
      <c r="M13" s="29">
        <f t="shared" si="1"/>
        <v>45813</v>
      </c>
      <c r="N13" s="48" t="s">
        <v>98</v>
      </c>
    </row>
    <row r="14" spans="1:14" ht="15.75" x14ac:dyDescent="0.25">
      <c r="A14" s="8">
        <v>45764</v>
      </c>
      <c r="B14" s="6">
        <v>7609</v>
      </c>
      <c r="C14" s="6">
        <v>281</v>
      </c>
      <c r="D14" s="6" t="s">
        <v>73</v>
      </c>
      <c r="E14" s="6" t="s">
        <v>139</v>
      </c>
      <c r="F14" s="6" t="s">
        <v>140</v>
      </c>
      <c r="G14" s="7" t="s">
        <v>5</v>
      </c>
      <c r="H14" s="10" t="s">
        <v>90</v>
      </c>
      <c r="I14" s="9" t="s">
        <v>90</v>
      </c>
      <c r="J14" s="5" t="s">
        <v>90</v>
      </c>
      <c r="K14" s="54" t="s">
        <v>90</v>
      </c>
      <c r="L14" s="25" t="e">
        <f t="shared" si="0"/>
        <v>#VALUE!</v>
      </c>
      <c r="M14" s="29" t="e">
        <f t="shared" si="1"/>
        <v>#VALUE!</v>
      </c>
      <c r="N14" s="48" t="s">
        <v>98</v>
      </c>
    </row>
    <row r="15" spans="1:14" ht="15.75" x14ac:dyDescent="0.25">
      <c r="A15" s="11">
        <v>45764</v>
      </c>
      <c r="B15" s="3">
        <v>7615</v>
      </c>
      <c r="C15" s="44">
        <v>8047</v>
      </c>
      <c r="D15" s="44" t="s">
        <v>56</v>
      </c>
      <c r="E15" s="3" t="s">
        <v>68</v>
      </c>
      <c r="F15" s="3" t="s">
        <v>70</v>
      </c>
      <c r="G15" s="4" t="s">
        <v>6</v>
      </c>
      <c r="H15" s="40">
        <v>45699</v>
      </c>
      <c r="I15" s="39">
        <v>7372</v>
      </c>
      <c r="J15" s="41">
        <v>7765</v>
      </c>
      <c r="K15" s="53" t="s">
        <v>50</v>
      </c>
      <c r="L15" s="26">
        <f t="shared" si="0"/>
        <v>4.3384615384615381</v>
      </c>
      <c r="M15" s="29">
        <f t="shared" si="1"/>
        <v>45821.624113475176</v>
      </c>
      <c r="N15" s="48" t="s">
        <v>98</v>
      </c>
    </row>
    <row r="16" spans="1:14" ht="15.75" x14ac:dyDescent="0.25">
      <c r="A16" s="8">
        <v>45764</v>
      </c>
      <c r="B16" s="6">
        <v>7616</v>
      </c>
      <c r="C16" s="6">
        <v>1220</v>
      </c>
      <c r="D16" s="6" t="s">
        <v>56</v>
      </c>
      <c r="E16" s="6" t="s">
        <v>68</v>
      </c>
      <c r="F16" s="6" t="s">
        <v>69</v>
      </c>
      <c r="G16" s="7" t="s">
        <v>6</v>
      </c>
      <c r="H16" s="22">
        <v>45699</v>
      </c>
      <c r="I16" s="15">
        <v>7371</v>
      </c>
      <c r="J16" s="23">
        <v>928</v>
      </c>
      <c r="K16" s="50" t="s">
        <v>50</v>
      </c>
      <c r="L16" s="25">
        <f t="shared" si="0"/>
        <v>4.4923076923076923</v>
      </c>
      <c r="M16" s="29">
        <f t="shared" si="1"/>
        <v>45819.650684931505</v>
      </c>
      <c r="N16" s="48" t="s">
        <v>98</v>
      </c>
    </row>
    <row r="17" spans="1:14" ht="15.75" x14ac:dyDescent="0.25">
      <c r="A17" s="11">
        <v>45764</v>
      </c>
      <c r="B17" s="3">
        <v>7617</v>
      </c>
      <c r="C17" s="3">
        <v>10608</v>
      </c>
      <c r="D17" s="3" t="s">
        <v>56</v>
      </c>
      <c r="E17" s="3" t="s">
        <v>68</v>
      </c>
      <c r="F17" s="3" t="s">
        <v>141</v>
      </c>
      <c r="G17" s="4" t="s">
        <v>6</v>
      </c>
      <c r="H17" s="40">
        <v>45624</v>
      </c>
      <c r="I17" s="39">
        <v>7145</v>
      </c>
      <c r="J17" s="41">
        <v>10280</v>
      </c>
      <c r="K17" s="53" t="s">
        <v>50</v>
      </c>
      <c r="L17" s="26">
        <f t="shared" si="0"/>
        <v>2.342857142857143</v>
      </c>
      <c r="M17" s="29">
        <f t="shared" si="1"/>
        <v>45870.707317073167</v>
      </c>
      <c r="N17" s="48" t="s">
        <v>98</v>
      </c>
    </row>
    <row r="18" spans="1:14" ht="15.75" x14ac:dyDescent="0.25">
      <c r="A18" s="8">
        <v>45771</v>
      </c>
      <c r="B18" s="6">
        <v>7631</v>
      </c>
      <c r="C18" s="6">
        <v>7479</v>
      </c>
      <c r="D18" s="6" t="s">
        <v>50</v>
      </c>
      <c r="E18" s="6" t="s">
        <v>37</v>
      </c>
      <c r="F18" s="6" t="s">
        <v>38</v>
      </c>
      <c r="G18" s="7" t="s">
        <v>6</v>
      </c>
      <c r="H18" s="10">
        <v>45722</v>
      </c>
      <c r="I18" s="9">
        <v>7446</v>
      </c>
      <c r="J18" s="5">
        <v>7008</v>
      </c>
      <c r="K18" s="54" t="s">
        <v>73</v>
      </c>
      <c r="L18" s="25">
        <f t="shared" si="0"/>
        <v>9.612244897959183</v>
      </c>
      <c r="M18" s="29">
        <f t="shared" si="1"/>
        <v>45797.008492569003</v>
      </c>
      <c r="N18" s="48" t="s">
        <v>98</v>
      </c>
    </row>
    <row r="19" spans="1:14" ht="15.75" x14ac:dyDescent="0.25">
      <c r="A19" s="11">
        <v>45771</v>
      </c>
      <c r="B19" s="3">
        <v>7632</v>
      </c>
      <c r="C19" s="3">
        <v>758</v>
      </c>
      <c r="D19" s="3" t="s">
        <v>50</v>
      </c>
      <c r="E19" s="3" t="s">
        <v>142</v>
      </c>
      <c r="F19" s="3" t="s">
        <v>143</v>
      </c>
      <c r="G19" s="4" t="s">
        <v>6</v>
      </c>
      <c r="H19" s="40"/>
      <c r="I19" s="39"/>
      <c r="J19" s="41"/>
      <c r="K19" s="53"/>
      <c r="L19" s="26">
        <f t="shared" si="0"/>
        <v>1.656070437613336E-2</v>
      </c>
      <c r="M19" s="29">
        <f t="shared" si="1"/>
        <v>60866.976253298155</v>
      </c>
      <c r="N19" s="48" t="s">
        <v>168</v>
      </c>
    </row>
    <row r="20" spans="1:14" ht="15.75" x14ac:dyDescent="0.25">
      <c r="A20" s="8">
        <v>45772</v>
      </c>
      <c r="B20" s="6">
        <v>7636</v>
      </c>
      <c r="C20" s="6">
        <v>803</v>
      </c>
      <c r="D20" s="6" t="s">
        <v>50</v>
      </c>
      <c r="E20" s="6" t="s">
        <v>144</v>
      </c>
      <c r="F20" s="6" t="s">
        <v>145</v>
      </c>
      <c r="G20" s="7" t="s">
        <v>6</v>
      </c>
      <c r="H20" s="10">
        <v>45267</v>
      </c>
      <c r="I20" s="9">
        <v>6172</v>
      </c>
      <c r="J20" s="5">
        <v>537</v>
      </c>
      <c r="K20" s="54" t="s">
        <v>53</v>
      </c>
      <c r="L20" s="25">
        <f t="shared" si="0"/>
        <v>0.52673267326732676</v>
      </c>
      <c r="M20" s="29">
        <f t="shared" si="1"/>
        <v>46246.624060150374</v>
      </c>
      <c r="N20" s="48" t="s">
        <v>98</v>
      </c>
    </row>
    <row r="21" spans="1:14" ht="15.75" x14ac:dyDescent="0.25">
      <c r="A21" s="11">
        <v>45772</v>
      </c>
      <c r="B21" s="3">
        <v>7637</v>
      </c>
      <c r="C21" s="3">
        <v>873</v>
      </c>
      <c r="D21" s="3" t="s">
        <v>50</v>
      </c>
      <c r="E21" s="3" t="s">
        <v>146</v>
      </c>
      <c r="F21" s="3" t="s">
        <v>147</v>
      </c>
      <c r="G21" s="4" t="s">
        <v>6</v>
      </c>
      <c r="H21" s="13">
        <v>45638</v>
      </c>
      <c r="I21" s="12">
        <v>7210</v>
      </c>
      <c r="J21" s="14">
        <v>589</v>
      </c>
      <c r="K21" s="51" t="s">
        <v>53</v>
      </c>
      <c r="L21" s="26">
        <f t="shared" si="0"/>
        <v>2.1194029850746268</v>
      </c>
      <c r="M21" s="29">
        <f t="shared" si="1"/>
        <v>45889.957746478874</v>
      </c>
      <c r="N21" s="48" t="s">
        <v>98</v>
      </c>
    </row>
    <row r="22" spans="1:14" ht="15.75" x14ac:dyDescent="0.25">
      <c r="A22" s="8">
        <v>45772</v>
      </c>
      <c r="B22" s="6">
        <v>7638</v>
      </c>
      <c r="C22" s="6">
        <v>1068</v>
      </c>
      <c r="D22" s="6" t="s">
        <v>56</v>
      </c>
      <c r="E22" s="6" t="s">
        <v>148</v>
      </c>
      <c r="F22" s="6" t="s">
        <v>149</v>
      </c>
      <c r="G22" s="7" t="s">
        <v>6</v>
      </c>
      <c r="H22" s="10">
        <v>45611</v>
      </c>
      <c r="I22" s="9">
        <v>7094</v>
      </c>
      <c r="J22" s="5">
        <v>788</v>
      </c>
      <c r="K22" s="54" t="s">
        <v>50</v>
      </c>
      <c r="L22" s="25">
        <f t="shared" si="0"/>
        <v>1.7391304347826086</v>
      </c>
      <c r="M22" s="29">
        <f t="shared" si="1"/>
        <v>45915.75</v>
      </c>
      <c r="N22" s="48" t="s">
        <v>98</v>
      </c>
    </row>
    <row r="23" spans="1:14" ht="15.75" x14ac:dyDescent="0.25">
      <c r="A23" s="11">
        <v>45776</v>
      </c>
      <c r="B23" s="3">
        <v>7640</v>
      </c>
      <c r="C23" s="3">
        <v>345</v>
      </c>
      <c r="D23" s="3" t="s">
        <v>24</v>
      </c>
      <c r="E23" s="3" t="s">
        <v>150</v>
      </c>
      <c r="F23" s="3" t="s">
        <v>151</v>
      </c>
      <c r="G23" s="4" t="s">
        <v>6</v>
      </c>
      <c r="H23" s="13">
        <v>45462</v>
      </c>
      <c r="I23" s="12">
        <v>6626</v>
      </c>
      <c r="J23" s="14">
        <v>2</v>
      </c>
      <c r="K23" s="51" t="s">
        <v>90</v>
      </c>
      <c r="L23" s="26">
        <f t="shared" si="0"/>
        <v>1.0923566878980893</v>
      </c>
      <c r="M23" s="29">
        <f t="shared" si="1"/>
        <v>46004.86297376093</v>
      </c>
      <c r="N23" s="48" t="s">
        <v>98</v>
      </c>
    </row>
    <row r="24" spans="1:14" ht="15.75" x14ac:dyDescent="0.25">
      <c r="A24" s="8">
        <v>45775</v>
      </c>
      <c r="B24" s="6">
        <v>7641</v>
      </c>
      <c r="C24" s="6">
        <v>12500</v>
      </c>
      <c r="D24" s="6" t="s">
        <v>53</v>
      </c>
      <c r="E24" s="6" t="s">
        <v>62</v>
      </c>
      <c r="F24" s="6" t="s">
        <v>80</v>
      </c>
      <c r="G24" s="7" t="s">
        <v>5</v>
      </c>
      <c r="H24" s="10">
        <v>45709</v>
      </c>
      <c r="I24" s="9">
        <v>7410</v>
      </c>
      <c r="J24" s="5">
        <v>12255</v>
      </c>
      <c r="K24" s="54" t="s">
        <v>73</v>
      </c>
      <c r="L24" s="26">
        <f t="shared" si="0"/>
        <v>3.7121212121212119</v>
      </c>
      <c r="M24" s="29">
        <f t="shared" si="1"/>
        <v>45842.34693877551</v>
      </c>
      <c r="N24" s="48" t="s">
        <v>98</v>
      </c>
    </row>
    <row r="25" spans="1:14" ht="15.75" x14ac:dyDescent="0.25">
      <c r="A25" s="11">
        <v>45776</v>
      </c>
      <c r="B25" s="3">
        <v>7643</v>
      </c>
      <c r="C25" s="3" t="s">
        <v>90</v>
      </c>
      <c r="D25" s="3" t="s">
        <v>56</v>
      </c>
      <c r="E25" s="3" t="s">
        <v>152</v>
      </c>
      <c r="F25" s="3" t="s">
        <v>153</v>
      </c>
      <c r="G25" s="4" t="s">
        <v>5</v>
      </c>
      <c r="H25" s="13" t="s">
        <v>90</v>
      </c>
      <c r="I25" s="12" t="s">
        <v>90</v>
      </c>
      <c r="J25" s="14" t="s">
        <v>90</v>
      </c>
      <c r="K25" s="51" t="s">
        <v>90</v>
      </c>
      <c r="L25" s="26" t="e">
        <f t="shared" si="0"/>
        <v>#VALUE!</v>
      </c>
      <c r="M25" s="29" t="e">
        <f t="shared" si="1"/>
        <v>#VALUE!</v>
      </c>
      <c r="N25" s="48" t="s">
        <v>98</v>
      </c>
    </row>
    <row r="26" spans="1:14" ht="15.75" x14ac:dyDescent="0.25">
      <c r="A26" s="8">
        <v>45777</v>
      </c>
      <c r="B26" s="6">
        <v>7647</v>
      </c>
      <c r="C26" s="6">
        <v>5161</v>
      </c>
      <c r="D26" s="6" t="s">
        <v>50</v>
      </c>
      <c r="E26" s="6" t="s">
        <v>154</v>
      </c>
      <c r="F26" s="6">
        <v>1887</v>
      </c>
      <c r="G26" s="7" t="s">
        <v>6</v>
      </c>
      <c r="H26" s="10">
        <v>45156</v>
      </c>
      <c r="I26" s="9">
        <v>5898</v>
      </c>
      <c r="J26" s="5">
        <v>4742</v>
      </c>
      <c r="K26" s="54" t="s">
        <v>50</v>
      </c>
      <c r="L26" s="26">
        <f t="shared" si="0"/>
        <v>0.67471819645732689</v>
      </c>
      <c r="M26" s="29">
        <f t="shared" si="1"/>
        <v>46147.525059665873</v>
      </c>
      <c r="N26" s="48" t="s">
        <v>98</v>
      </c>
    </row>
    <row r="27" spans="1:14" ht="15.75" x14ac:dyDescent="0.25">
      <c r="A27" s="11">
        <v>45777</v>
      </c>
      <c r="B27" s="3">
        <v>7649</v>
      </c>
      <c r="C27" s="3">
        <v>1300</v>
      </c>
      <c r="D27" s="3" t="s">
        <v>56</v>
      </c>
      <c r="E27" s="3" t="s">
        <v>154</v>
      </c>
      <c r="F27" s="3" t="s">
        <v>155</v>
      </c>
      <c r="G27" s="4" t="s">
        <v>6</v>
      </c>
      <c r="H27" s="13">
        <v>45156</v>
      </c>
      <c r="I27" s="12">
        <v>5899</v>
      </c>
      <c r="J27" s="14">
        <v>694</v>
      </c>
      <c r="K27" s="51" t="s">
        <v>53</v>
      </c>
      <c r="L27" s="26">
        <f t="shared" si="0"/>
        <v>0.97584541062801933</v>
      </c>
      <c r="M27" s="29">
        <f t="shared" si="1"/>
        <v>46033.188118811879</v>
      </c>
      <c r="N27" s="48" t="s">
        <v>98</v>
      </c>
    </row>
    <row r="28" spans="1:14" ht="15.75" x14ac:dyDescent="0.25">
      <c r="A28" s="8">
        <v>45776</v>
      </c>
      <c r="B28" s="6">
        <v>7646</v>
      </c>
      <c r="C28" s="6" t="s">
        <v>90</v>
      </c>
      <c r="D28" s="6" t="s">
        <v>56</v>
      </c>
      <c r="E28" s="6" t="s">
        <v>156</v>
      </c>
      <c r="F28" s="6" t="s">
        <v>157</v>
      </c>
      <c r="G28" s="7" t="s">
        <v>5</v>
      </c>
      <c r="H28" s="10" t="s">
        <v>90</v>
      </c>
      <c r="I28" s="9" t="s">
        <v>90</v>
      </c>
      <c r="J28" s="5" t="s">
        <v>90</v>
      </c>
      <c r="K28" s="54" t="s">
        <v>90</v>
      </c>
      <c r="L28" s="26" t="e">
        <f t="shared" si="0"/>
        <v>#VALUE!</v>
      </c>
      <c r="M28" s="29" t="e">
        <f t="shared" si="1"/>
        <v>#VALUE!</v>
      </c>
      <c r="N28" s="48" t="s">
        <v>98</v>
      </c>
    </row>
    <row r="29" spans="1:14" ht="15.75" x14ac:dyDescent="0.25">
      <c r="A29" s="11">
        <v>45777</v>
      </c>
      <c r="B29" s="3">
        <v>7645</v>
      </c>
      <c r="C29" s="3">
        <v>2489</v>
      </c>
      <c r="D29" s="3" t="s">
        <v>73</v>
      </c>
      <c r="E29" s="3" t="s">
        <v>170</v>
      </c>
      <c r="F29" s="3" t="s">
        <v>169</v>
      </c>
      <c r="G29" s="4" t="s">
        <v>6</v>
      </c>
      <c r="H29" s="13">
        <v>45622</v>
      </c>
      <c r="I29" s="12">
        <v>7131</v>
      </c>
      <c r="J29" s="14">
        <v>2221</v>
      </c>
      <c r="K29" s="51" t="s">
        <v>56</v>
      </c>
      <c r="L29" s="26">
        <f t="shared" si="0"/>
        <v>1.7290322580645161</v>
      </c>
      <c r="M29" s="29">
        <f t="shared" si="1"/>
        <v>45921.589552238809</v>
      </c>
      <c r="N29" s="48" t="s">
        <v>98</v>
      </c>
    </row>
    <row r="30" spans="1:14" ht="15.75" x14ac:dyDescent="0.25">
      <c r="A30" s="8"/>
      <c r="B30" s="6"/>
      <c r="C30" s="6"/>
      <c r="D30" s="6"/>
      <c r="E30" s="6"/>
      <c r="F30" s="6"/>
      <c r="G30" s="7"/>
      <c r="H30" s="10"/>
      <c r="I30" s="9"/>
      <c r="J30" s="5"/>
      <c r="K30" s="54"/>
      <c r="L30" s="26" t="e">
        <f t="shared" si="0"/>
        <v>#DIV/0!</v>
      </c>
      <c r="M30" s="29" t="e">
        <f t="shared" si="1"/>
        <v>#DIV/0!</v>
      </c>
    </row>
    <row r="31" spans="1:14" ht="15.75" x14ac:dyDescent="0.25">
      <c r="A31" s="11"/>
      <c r="B31" s="3"/>
      <c r="C31" s="3"/>
      <c r="D31" s="3"/>
      <c r="E31" s="3"/>
      <c r="F31" s="3"/>
      <c r="G31" s="4"/>
      <c r="H31" s="13"/>
      <c r="I31" s="12"/>
      <c r="J31" s="14"/>
      <c r="K31" s="51"/>
      <c r="L31" s="26" t="e">
        <f t="shared" si="0"/>
        <v>#DIV/0!</v>
      </c>
      <c r="M31" s="29" t="e">
        <f t="shared" si="1"/>
        <v>#DIV/0!</v>
      </c>
    </row>
    <row r="32" spans="1:14" ht="15.75" x14ac:dyDescent="0.25">
      <c r="A32" s="8"/>
      <c r="B32" s="6"/>
      <c r="C32" s="6"/>
      <c r="D32" s="6"/>
      <c r="E32" s="6"/>
      <c r="F32" s="6"/>
      <c r="G32" s="7"/>
      <c r="H32" s="10"/>
      <c r="I32" s="9"/>
      <c r="J32" s="5"/>
      <c r="K32" s="54"/>
      <c r="L32" s="26" t="e">
        <f t="shared" si="0"/>
        <v>#DIV/0!</v>
      </c>
      <c r="M32" s="29" t="e">
        <f t="shared" si="1"/>
        <v>#DIV/0!</v>
      </c>
    </row>
    <row r="33" spans="1:13" ht="15.75" x14ac:dyDescent="0.25">
      <c r="A33" s="11"/>
      <c r="B33" s="3"/>
      <c r="C33" s="3"/>
      <c r="D33" s="3"/>
      <c r="E33" s="3"/>
      <c r="F33" s="3"/>
      <c r="G33" s="4"/>
      <c r="H33" s="13"/>
      <c r="I33" s="12"/>
      <c r="J33" s="14"/>
      <c r="K33" s="51"/>
      <c r="L33" s="26" t="e">
        <f t="shared" si="0"/>
        <v>#DIV/0!</v>
      </c>
      <c r="M33" s="29" t="e">
        <f t="shared" si="1"/>
        <v>#DIV/0!</v>
      </c>
    </row>
    <row r="34" spans="1:13" ht="15.75" x14ac:dyDescent="0.25">
      <c r="A34" s="8"/>
      <c r="B34" s="6"/>
      <c r="C34" s="6"/>
      <c r="D34" s="6"/>
      <c r="E34" s="6"/>
      <c r="F34" s="6"/>
      <c r="G34" s="7"/>
      <c r="H34" s="10"/>
      <c r="I34" s="9"/>
      <c r="J34" s="5"/>
      <c r="K34" s="54"/>
      <c r="L34" s="26" t="e">
        <f t="shared" si="0"/>
        <v>#DIV/0!</v>
      </c>
      <c r="M34" s="29" t="e">
        <f t="shared" si="1"/>
        <v>#DIV/0!</v>
      </c>
    </row>
    <row r="35" spans="1:13" ht="15.75" x14ac:dyDescent="0.25">
      <c r="A35" s="11"/>
      <c r="B35" s="3"/>
      <c r="C35" s="3"/>
      <c r="D35" s="3"/>
      <c r="E35" s="3"/>
      <c r="F35" s="3"/>
      <c r="G35" s="4"/>
      <c r="H35" s="13"/>
      <c r="I35" s="12"/>
      <c r="J35" s="14"/>
      <c r="K35" s="51"/>
      <c r="L35" s="26" t="e">
        <f t="shared" si="0"/>
        <v>#DIV/0!</v>
      </c>
      <c r="M35" s="29" t="e">
        <f t="shared" si="1"/>
        <v>#DIV/0!</v>
      </c>
    </row>
    <row r="36" spans="1:13" ht="15.75" x14ac:dyDescent="0.25">
      <c r="A36" s="8"/>
      <c r="B36" s="6"/>
      <c r="C36" s="6"/>
      <c r="D36" s="6"/>
      <c r="E36" s="6"/>
      <c r="F36" s="6"/>
      <c r="G36" s="7"/>
      <c r="H36" s="10"/>
      <c r="I36" s="9"/>
      <c r="J36" s="5"/>
      <c r="K36" s="54"/>
      <c r="L36" s="26" t="e">
        <f t="shared" si="0"/>
        <v>#DIV/0!</v>
      </c>
      <c r="M36" s="29" t="e">
        <f t="shared" si="1"/>
        <v>#DIV/0!</v>
      </c>
    </row>
    <row r="37" spans="1:13" ht="15.75" x14ac:dyDescent="0.25">
      <c r="A37" s="11"/>
      <c r="B37" s="3"/>
      <c r="C37" s="3"/>
      <c r="D37" s="3"/>
      <c r="E37" s="3"/>
      <c r="F37" s="3"/>
      <c r="G37" s="4"/>
      <c r="H37" s="13"/>
      <c r="I37" s="12"/>
      <c r="J37" s="14"/>
      <c r="K37" s="51"/>
      <c r="L37" s="26" t="e">
        <f t="shared" si="0"/>
        <v>#DIV/0!</v>
      </c>
      <c r="M37" s="29" t="e">
        <f t="shared" si="1"/>
        <v>#DIV/0!</v>
      </c>
    </row>
    <row r="38" spans="1:13" ht="15.75" x14ac:dyDescent="0.25">
      <c r="A38" s="8"/>
      <c r="B38" s="6"/>
      <c r="C38" s="6"/>
      <c r="D38" s="6"/>
      <c r="E38" s="6"/>
      <c r="F38" s="6"/>
      <c r="G38" s="7"/>
      <c r="H38" s="10"/>
      <c r="I38" s="9"/>
      <c r="J38" s="5"/>
      <c r="K38" s="54"/>
      <c r="L38" s="25"/>
      <c r="M38" s="29"/>
    </row>
    <row r="39" spans="1:13" ht="15.75" x14ac:dyDescent="0.25">
      <c r="A39" s="11"/>
      <c r="B39" s="3"/>
      <c r="C39" s="3"/>
      <c r="D39" s="3"/>
      <c r="E39" s="3"/>
      <c r="F39" s="3"/>
      <c r="G39" s="4"/>
      <c r="H39" s="13"/>
      <c r="I39" s="12"/>
      <c r="J39" s="14"/>
      <c r="K39" s="51"/>
      <c r="L39" s="26"/>
      <c r="M39" s="29"/>
    </row>
    <row r="40" spans="1:13" ht="15.75" x14ac:dyDescent="0.25">
      <c r="A40" s="8"/>
      <c r="B40" s="6"/>
      <c r="C40" s="6"/>
      <c r="D40" s="6"/>
      <c r="E40" s="6"/>
      <c r="F40" s="6"/>
      <c r="G40" s="7"/>
      <c r="H40" s="10"/>
      <c r="I40" s="9"/>
      <c r="J40" s="5"/>
      <c r="K40" s="54"/>
      <c r="L40" s="25"/>
      <c r="M40" s="29"/>
    </row>
    <row r="41" spans="1:13" ht="15.75" x14ac:dyDescent="0.25">
      <c r="A41" s="11"/>
      <c r="B41" s="3"/>
      <c r="C41" s="3"/>
      <c r="D41" s="3"/>
      <c r="E41" s="3"/>
      <c r="F41" s="3"/>
      <c r="G41" s="4"/>
      <c r="H41" s="13"/>
      <c r="I41" s="12"/>
      <c r="J41" s="14"/>
      <c r="K41" s="51"/>
      <c r="L41" s="26"/>
      <c r="M41" s="29"/>
    </row>
    <row r="42" spans="1:13" ht="15.75" x14ac:dyDescent="0.25">
      <c r="A42" s="8"/>
      <c r="B42" s="6"/>
      <c r="C42" s="6"/>
      <c r="D42" s="6"/>
      <c r="E42" s="6"/>
      <c r="F42" s="6"/>
      <c r="G42" s="7"/>
      <c r="H42" s="10"/>
      <c r="I42" s="9"/>
      <c r="J42" s="5"/>
      <c r="K42" s="54"/>
      <c r="L42" s="25"/>
      <c r="M42" s="29"/>
    </row>
    <row r="43" spans="1:13" ht="15.75" x14ac:dyDescent="0.25">
      <c r="A43" s="11"/>
      <c r="B43" s="3"/>
      <c r="C43" s="3"/>
      <c r="D43" s="3"/>
      <c r="E43" s="3"/>
      <c r="F43" s="3"/>
      <c r="G43" s="4"/>
      <c r="H43" s="13"/>
      <c r="I43" s="12"/>
      <c r="J43" s="14"/>
      <c r="K43" s="51"/>
      <c r="L43" s="26"/>
      <c r="M43" s="29"/>
    </row>
    <row r="44" spans="1:13" ht="15.75" x14ac:dyDescent="0.25">
      <c r="A44" s="8"/>
      <c r="B44" s="6"/>
      <c r="C44" s="6"/>
      <c r="D44" s="6"/>
      <c r="E44" s="6"/>
      <c r="F44" s="6"/>
      <c r="G44" s="7"/>
      <c r="H44" s="10"/>
      <c r="I44" s="9"/>
      <c r="J44" s="5"/>
      <c r="K44" s="54"/>
      <c r="L44" s="25"/>
      <c r="M44" s="29"/>
    </row>
    <row r="45" spans="1:13" ht="15.75" x14ac:dyDescent="0.25">
      <c r="A45" s="11"/>
      <c r="B45" s="3"/>
      <c r="C45" s="3"/>
      <c r="D45" s="3"/>
      <c r="E45" s="3"/>
      <c r="F45" s="3"/>
      <c r="G45" s="4"/>
      <c r="H45" s="13"/>
      <c r="I45" s="12"/>
      <c r="J45" s="14"/>
      <c r="K45" s="51"/>
      <c r="L45" s="26"/>
      <c r="M45" s="29"/>
    </row>
    <row r="46" spans="1:13" ht="15.75" x14ac:dyDescent="0.25">
      <c r="A46" s="8"/>
      <c r="B46" s="6"/>
      <c r="C46" s="6"/>
      <c r="D46" s="6"/>
      <c r="E46" s="6"/>
      <c r="F46" s="6"/>
      <c r="G46" s="7"/>
      <c r="H46" s="10"/>
      <c r="I46" s="9"/>
      <c r="J46" s="5"/>
      <c r="K46" s="54"/>
      <c r="L46" s="25"/>
      <c r="M46" s="29"/>
    </row>
    <row r="47" spans="1:13" ht="15.75" x14ac:dyDescent="0.25">
      <c r="A47" s="11"/>
      <c r="B47" s="3"/>
      <c r="C47" s="3"/>
      <c r="D47" s="3"/>
      <c r="E47" s="3"/>
      <c r="F47" s="3"/>
      <c r="G47" s="4"/>
      <c r="H47" s="13"/>
      <c r="I47" s="12"/>
      <c r="J47" s="14"/>
      <c r="K47" s="51"/>
      <c r="L47" s="26"/>
      <c r="M47" s="29"/>
    </row>
    <row r="48" spans="1:13" ht="15.75" x14ac:dyDescent="0.25">
      <c r="A48" s="8"/>
      <c r="B48" s="6"/>
      <c r="C48" s="6"/>
      <c r="D48" s="6"/>
      <c r="E48" s="6"/>
      <c r="F48" s="6"/>
      <c r="G48" s="7"/>
      <c r="H48" s="10"/>
      <c r="I48" s="9"/>
      <c r="J48" s="5"/>
      <c r="K48" s="54"/>
      <c r="L48" s="25"/>
      <c r="M48" s="29"/>
    </row>
    <row r="49" spans="1:13" ht="15.75" x14ac:dyDescent="0.25">
      <c r="A49" s="11"/>
      <c r="B49" s="3"/>
      <c r="C49" s="3"/>
      <c r="D49" s="3"/>
      <c r="E49" s="3"/>
      <c r="F49" s="3"/>
      <c r="G49" s="4"/>
      <c r="H49" s="13"/>
      <c r="I49" s="12"/>
      <c r="J49" s="14"/>
      <c r="K49" s="51"/>
      <c r="L49" s="26"/>
      <c r="M49" s="29"/>
    </row>
  </sheetData>
  <autoFilter ref="A3:M3"/>
  <mergeCells count="2">
    <mergeCell ref="A2:G2"/>
    <mergeCell ref="H2:L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zoomScale="85" zoomScaleNormal="85" workbookViewId="0">
      <selection activeCell="M5" sqref="M5"/>
    </sheetView>
  </sheetViews>
  <sheetFormatPr baseColWidth="10" defaultRowHeight="15" x14ac:dyDescent="0.25"/>
  <cols>
    <col min="3" max="3" width="6.7109375" bestFit="1" customWidth="1"/>
    <col min="4" max="4" width="10.28515625" customWidth="1"/>
    <col min="5" max="5" width="30.42578125" bestFit="1" customWidth="1"/>
    <col min="6" max="6" width="19.42578125" bestFit="1" customWidth="1"/>
    <col min="8" max="8" width="10.42578125" bestFit="1" customWidth="1"/>
    <col min="9" max="9" width="13" customWidth="1"/>
    <col min="12" max="12" width="19.85546875" customWidth="1"/>
  </cols>
  <sheetData>
    <row r="1" spans="1:13" ht="15.75" thickBot="1" x14ac:dyDescent="0.3"/>
    <row r="2" spans="1:13" ht="19.5" thickBot="1" x14ac:dyDescent="0.35">
      <c r="A2" s="75" t="s">
        <v>16</v>
      </c>
      <c r="B2" s="76"/>
      <c r="C2" s="76"/>
      <c r="D2" s="76"/>
      <c r="E2" s="76"/>
      <c r="F2" s="76"/>
      <c r="G2" s="77"/>
      <c r="H2" s="78" t="s">
        <v>17</v>
      </c>
      <c r="I2" s="79"/>
      <c r="J2" s="79"/>
      <c r="K2" s="80"/>
      <c r="L2" s="28" t="s">
        <v>18</v>
      </c>
    </row>
    <row r="3" spans="1:13" ht="45" x14ac:dyDescent="0.25">
      <c r="A3" s="31" t="s">
        <v>1</v>
      </c>
      <c r="B3" s="32" t="s">
        <v>0</v>
      </c>
      <c r="C3" s="32" t="s">
        <v>10</v>
      </c>
      <c r="D3" s="49" t="s">
        <v>26</v>
      </c>
      <c r="E3" s="32" t="s">
        <v>2</v>
      </c>
      <c r="F3" s="32" t="s">
        <v>4</v>
      </c>
      <c r="G3" s="33" t="s">
        <v>3</v>
      </c>
      <c r="H3" s="34" t="s">
        <v>19</v>
      </c>
      <c r="I3" s="35" t="s">
        <v>14</v>
      </c>
      <c r="J3" s="36" t="s">
        <v>11</v>
      </c>
      <c r="K3" s="37" t="s">
        <v>12</v>
      </c>
      <c r="L3" s="38" t="s">
        <v>13</v>
      </c>
    </row>
    <row r="4" spans="1:13" ht="15.75" x14ac:dyDescent="0.25">
      <c r="A4" s="8">
        <v>45784</v>
      </c>
      <c r="B4" s="6">
        <v>7672</v>
      </c>
      <c r="C4" s="6">
        <v>189</v>
      </c>
      <c r="D4" s="6" t="s">
        <v>131</v>
      </c>
      <c r="E4" s="6" t="s">
        <v>58</v>
      </c>
      <c r="F4" s="6" t="s">
        <v>59</v>
      </c>
      <c r="G4" s="7" t="s">
        <v>6</v>
      </c>
      <c r="H4" s="64" t="s">
        <v>90</v>
      </c>
      <c r="I4" s="22" t="s">
        <v>90</v>
      </c>
      <c r="J4" s="23" t="s">
        <v>90</v>
      </c>
      <c r="K4" s="25" t="e">
        <f t="shared" ref="K4:K19" si="0">+(C4-J4)/(A4-I4)</f>
        <v>#VALUE!</v>
      </c>
      <c r="L4" s="29" t="e">
        <f t="shared" ref="L4:L19" si="1">+A4+(250/K4)</f>
        <v>#VALUE!</v>
      </c>
    </row>
    <row r="5" spans="1:13" ht="15.75" x14ac:dyDescent="0.25">
      <c r="A5" s="11">
        <v>45786</v>
      </c>
      <c r="B5" s="3">
        <v>7681</v>
      </c>
      <c r="C5" s="3">
        <v>2179</v>
      </c>
      <c r="D5" s="3" t="s">
        <v>50</v>
      </c>
      <c r="E5" s="3" t="s">
        <v>171</v>
      </c>
      <c r="F5" s="3" t="s">
        <v>172</v>
      </c>
      <c r="G5" s="4" t="s">
        <v>5</v>
      </c>
      <c r="H5" s="65">
        <v>7030</v>
      </c>
      <c r="I5" s="13">
        <v>45590</v>
      </c>
      <c r="J5" s="14">
        <v>1867</v>
      </c>
      <c r="K5" s="26">
        <f t="shared" si="0"/>
        <v>1.5918367346938775</v>
      </c>
      <c r="L5" s="29">
        <f t="shared" si="1"/>
        <v>45943.051282051281</v>
      </c>
      <c r="M5" s="48" t="s">
        <v>98</v>
      </c>
    </row>
    <row r="6" spans="1:13" ht="15.75" x14ac:dyDescent="0.25">
      <c r="A6" s="8">
        <v>45789</v>
      </c>
      <c r="B6" s="6">
        <v>7690</v>
      </c>
      <c r="C6" s="6">
        <v>7123</v>
      </c>
      <c r="D6" s="6" t="s">
        <v>56</v>
      </c>
      <c r="E6" s="6" t="s">
        <v>71</v>
      </c>
      <c r="F6" s="6" t="s">
        <v>72</v>
      </c>
      <c r="G6" s="7" t="s">
        <v>6</v>
      </c>
      <c r="H6" s="64">
        <v>7379</v>
      </c>
      <c r="I6" s="22">
        <v>45700</v>
      </c>
      <c r="J6" s="23">
        <v>6529</v>
      </c>
      <c r="K6" s="25">
        <f t="shared" si="0"/>
        <v>6.6741573033707864</v>
      </c>
      <c r="L6" s="29">
        <f t="shared" si="1"/>
        <v>45826.45791245791</v>
      </c>
      <c r="M6" s="48" t="s">
        <v>211</v>
      </c>
    </row>
    <row r="7" spans="1:13" ht="15.75" x14ac:dyDescent="0.25">
      <c r="A7" s="11">
        <v>45790</v>
      </c>
      <c r="B7" s="3">
        <v>7693</v>
      </c>
      <c r="C7" s="3">
        <v>1204</v>
      </c>
      <c r="D7" s="3" t="s">
        <v>56</v>
      </c>
      <c r="E7" s="3" t="s">
        <v>29</v>
      </c>
      <c r="F7" s="3" t="s">
        <v>30</v>
      </c>
      <c r="G7" s="4" t="s">
        <v>6</v>
      </c>
      <c r="H7" s="65">
        <v>7308</v>
      </c>
      <c r="I7" s="13">
        <v>45680</v>
      </c>
      <c r="J7" s="14">
        <v>947</v>
      </c>
      <c r="K7" s="26">
        <f t="shared" si="0"/>
        <v>2.3363636363636364</v>
      </c>
      <c r="L7" s="29">
        <f t="shared" si="1"/>
        <v>45897.003891050583</v>
      </c>
      <c r="M7" s="48" t="s">
        <v>98</v>
      </c>
    </row>
    <row r="8" spans="1:13" ht="15.75" x14ac:dyDescent="0.25">
      <c r="A8" s="8">
        <v>45792</v>
      </c>
      <c r="B8" s="6">
        <v>7701</v>
      </c>
      <c r="C8" s="42">
        <v>941</v>
      </c>
      <c r="D8" s="42" t="s">
        <v>50</v>
      </c>
      <c r="E8" s="6" t="s">
        <v>173</v>
      </c>
      <c r="F8" s="6" t="s">
        <v>174</v>
      </c>
      <c r="G8" s="7" t="s">
        <v>6</v>
      </c>
      <c r="H8" s="66">
        <v>6408</v>
      </c>
      <c r="I8" s="10">
        <v>45378</v>
      </c>
      <c r="J8" s="43">
        <v>625</v>
      </c>
      <c r="K8" s="25">
        <f t="shared" si="0"/>
        <v>0.76328502415458932</v>
      </c>
      <c r="L8" s="29">
        <f t="shared" si="1"/>
        <v>46119.531645569623</v>
      </c>
      <c r="M8" s="48" t="s">
        <v>98</v>
      </c>
    </row>
    <row r="9" spans="1:13" ht="15.75" x14ac:dyDescent="0.25">
      <c r="A9" s="11">
        <v>45796</v>
      </c>
      <c r="B9" s="3">
        <v>7714</v>
      </c>
      <c r="C9" s="3">
        <v>104</v>
      </c>
      <c r="D9" s="3" t="s">
        <v>24</v>
      </c>
      <c r="E9" s="3" t="s">
        <v>175</v>
      </c>
      <c r="F9" s="3" t="s">
        <v>176</v>
      </c>
      <c r="G9" s="4" t="s">
        <v>6</v>
      </c>
      <c r="H9" s="65">
        <v>7221</v>
      </c>
      <c r="I9" s="13">
        <v>45642</v>
      </c>
      <c r="J9" s="14">
        <v>7</v>
      </c>
      <c r="K9" s="26">
        <f t="shared" si="0"/>
        <v>0.62987012987012991</v>
      </c>
      <c r="L9" s="73">
        <f>+A9+(150/K9)</f>
        <v>46034.14432989691</v>
      </c>
      <c r="M9" s="48" t="s">
        <v>98</v>
      </c>
    </row>
    <row r="10" spans="1:13" ht="15.75" x14ac:dyDescent="0.25">
      <c r="A10" s="8">
        <v>45797</v>
      </c>
      <c r="B10" s="6">
        <v>7717</v>
      </c>
      <c r="C10" s="6">
        <v>280</v>
      </c>
      <c r="D10" s="6" t="s">
        <v>73</v>
      </c>
      <c r="E10" s="6" t="s">
        <v>92</v>
      </c>
      <c r="F10" s="6" t="s">
        <v>93</v>
      </c>
      <c r="G10" s="7" t="s">
        <v>6</v>
      </c>
      <c r="H10" s="66">
        <v>7429</v>
      </c>
      <c r="I10" s="10">
        <v>45715</v>
      </c>
      <c r="J10" s="5">
        <v>108</v>
      </c>
      <c r="K10" s="25">
        <f t="shared" si="0"/>
        <v>2.0975609756097562</v>
      </c>
      <c r="L10" s="29">
        <f t="shared" si="1"/>
        <v>45916.186046511626</v>
      </c>
      <c r="M10" s="48" t="s">
        <v>98</v>
      </c>
    </row>
    <row r="11" spans="1:13" ht="15.75" x14ac:dyDescent="0.25">
      <c r="A11" s="11">
        <v>45800</v>
      </c>
      <c r="B11" s="3">
        <v>7722</v>
      </c>
      <c r="C11" s="3">
        <v>1280</v>
      </c>
      <c r="D11" s="3" t="s">
        <v>73</v>
      </c>
      <c r="E11" s="3" t="s">
        <v>177</v>
      </c>
      <c r="F11" s="3" t="s">
        <v>178</v>
      </c>
      <c r="G11" s="63" t="s">
        <v>6</v>
      </c>
      <c r="H11" s="65">
        <v>6455</v>
      </c>
      <c r="I11" s="70">
        <v>45399</v>
      </c>
      <c r="J11" s="14">
        <v>1016</v>
      </c>
      <c r="K11" s="26">
        <f t="shared" si="0"/>
        <v>0.65835411471321692</v>
      </c>
      <c r="L11" s="29">
        <f t="shared" si="1"/>
        <v>46179.734848484848</v>
      </c>
      <c r="M11" s="48" t="s">
        <v>98</v>
      </c>
    </row>
    <row r="12" spans="1:13" ht="15.75" x14ac:dyDescent="0.25">
      <c r="A12" s="8">
        <v>45804</v>
      </c>
      <c r="B12" s="6">
        <v>7732</v>
      </c>
      <c r="C12" s="6">
        <v>3511</v>
      </c>
      <c r="D12" s="6" t="s">
        <v>73</v>
      </c>
      <c r="E12" s="6" t="s">
        <v>112</v>
      </c>
      <c r="F12" s="6" t="s">
        <v>113</v>
      </c>
      <c r="G12" s="7" t="s">
        <v>6</v>
      </c>
      <c r="H12" s="66">
        <v>7465</v>
      </c>
      <c r="I12" s="10">
        <v>45729</v>
      </c>
      <c r="J12" s="5">
        <v>3275</v>
      </c>
      <c r="K12" s="25">
        <f t="shared" si="0"/>
        <v>3.1466666666666665</v>
      </c>
      <c r="L12" s="29">
        <f t="shared" si="1"/>
        <v>45883.449152542373</v>
      </c>
      <c r="M12" s="48" t="s">
        <v>212</v>
      </c>
    </row>
    <row r="13" spans="1:13" ht="15.75" x14ac:dyDescent="0.25">
      <c r="A13" s="11">
        <v>45804</v>
      </c>
      <c r="B13" s="3">
        <v>7735</v>
      </c>
      <c r="C13" s="3">
        <v>847</v>
      </c>
      <c r="D13" s="3" t="s">
        <v>50</v>
      </c>
      <c r="E13" s="3" t="s">
        <v>35</v>
      </c>
      <c r="F13" s="3" t="s">
        <v>36</v>
      </c>
      <c r="G13" s="4" t="s">
        <v>6</v>
      </c>
      <c r="H13" s="67">
        <v>7276</v>
      </c>
      <c r="I13" s="40">
        <v>45671</v>
      </c>
      <c r="J13" s="41">
        <v>535</v>
      </c>
      <c r="K13" s="26">
        <f t="shared" si="0"/>
        <v>2.3458646616541352</v>
      </c>
      <c r="L13" s="29">
        <f t="shared" si="1"/>
        <v>45910.570512820515</v>
      </c>
      <c r="M13" s="48" t="s">
        <v>98</v>
      </c>
    </row>
    <row r="14" spans="1:13" ht="15.75" x14ac:dyDescent="0.25">
      <c r="A14" s="8">
        <v>45805</v>
      </c>
      <c r="B14" s="6">
        <v>7740</v>
      </c>
      <c r="C14" s="6">
        <v>7833</v>
      </c>
      <c r="D14" s="6" t="s">
        <v>56</v>
      </c>
      <c r="E14" s="6" t="s">
        <v>37</v>
      </c>
      <c r="F14" s="6" t="s">
        <v>38</v>
      </c>
      <c r="G14" s="7" t="s">
        <v>6</v>
      </c>
      <c r="H14" s="66">
        <v>7631</v>
      </c>
      <c r="I14" s="10">
        <v>45771</v>
      </c>
      <c r="J14" s="5">
        <v>7479</v>
      </c>
      <c r="K14" s="25">
        <f t="shared" si="0"/>
        <v>10.411764705882353</v>
      </c>
      <c r="L14" s="29">
        <f t="shared" si="1"/>
        <v>45829.011299435027</v>
      </c>
      <c r="M14" s="48"/>
    </row>
    <row r="15" spans="1:13" ht="15.75" x14ac:dyDescent="0.25">
      <c r="A15" s="11">
        <v>45805</v>
      </c>
      <c r="B15" s="3">
        <v>7743</v>
      </c>
      <c r="C15" s="3">
        <v>465</v>
      </c>
      <c r="D15" s="3" t="s">
        <v>53</v>
      </c>
      <c r="E15" s="3" t="s">
        <v>79</v>
      </c>
      <c r="F15" s="3" t="s">
        <v>179</v>
      </c>
      <c r="G15" s="4" t="s">
        <v>6</v>
      </c>
      <c r="H15" s="65">
        <v>6598</v>
      </c>
      <c r="I15" s="13">
        <v>45455</v>
      </c>
      <c r="J15" s="14">
        <v>229</v>
      </c>
      <c r="K15" s="26">
        <f t="shared" si="0"/>
        <v>0.67428571428571427</v>
      </c>
      <c r="L15" s="29">
        <f t="shared" si="1"/>
        <v>46175.762711864409</v>
      </c>
      <c r="M15" s="48" t="s">
        <v>98</v>
      </c>
    </row>
    <row r="16" spans="1:13" ht="15.75" x14ac:dyDescent="0.25">
      <c r="A16" s="8">
        <v>45807</v>
      </c>
      <c r="B16" s="6">
        <v>7745</v>
      </c>
      <c r="C16" s="6">
        <v>753</v>
      </c>
      <c r="D16" s="6" t="s">
        <v>50</v>
      </c>
      <c r="E16" s="6" t="s">
        <v>180</v>
      </c>
      <c r="F16" s="6" t="s">
        <v>181</v>
      </c>
      <c r="G16" s="7" t="s">
        <v>6</v>
      </c>
      <c r="H16" s="66">
        <v>6641</v>
      </c>
      <c r="I16" s="10">
        <v>45469</v>
      </c>
      <c r="J16" s="5">
        <v>338</v>
      </c>
      <c r="K16" s="25">
        <f t="shared" si="0"/>
        <v>1.2278106508875739</v>
      </c>
      <c r="L16" s="29">
        <f>+A16+(250/K16)</f>
        <v>46010.614457831325</v>
      </c>
      <c r="M16" s="48" t="s">
        <v>98</v>
      </c>
    </row>
    <row r="17" spans="1:13" ht="15.75" x14ac:dyDescent="0.25">
      <c r="A17" s="11">
        <v>45807</v>
      </c>
      <c r="B17" s="3">
        <v>7746</v>
      </c>
      <c r="C17" s="3">
        <v>2000</v>
      </c>
      <c r="D17" s="60" t="s">
        <v>73</v>
      </c>
      <c r="E17" s="3" t="s">
        <v>182</v>
      </c>
      <c r="F17" s="3">
        <v>2640</v>
      </c>
      <c r="G17" s="4" t="s">
        <v>6</v>
      </c>
      <c r="H17" s="65">
        <v>5545</v>
      </c>
      <c r="I17" s="13">
        <v>45007</v>
      </c>
      <c r="J17" s="14">
        <v>1830</v>
      </c>
      <c r="K17" s="26">
        <f t="shared" si="0"/>
        <v>0.21249999999999999</v>
      </c>
      <c r="L17" s="29">
        <f t="shared" si="1"/>
        <v>46983.470588235294</v>
      </c>
      <c r="M17" s="48" t="s">
        <v>98</v>
      </c>
    </row>
    <row r="18" spans="1:13" ht="15.75" x14ac:dyDescent="0.25">
      <c r="A18" s="8"/>
      <c r="B18" s="6"/>
      <c r="C18" s="6"/>
      <c r="D18" s="6"/>
      <c r="E18" s="6"/>
      <c r="F18" s="6"/>
      <c r="G18" s="7"/>
      <c r="H18" s="66"/>
      <c r="I18" s="10"/>
      <c r="J18" s="5"/>
      <c r="K18" s="25" t="e">
        <f t="shared" si="0"/>
        <v>#DIV/0!</v>
      </c>
      <c r="L18" s="29" t="e">
        <f t="shared" si="1"/>
        <v>#DIV/0!</v>
      </c>
      <c r="M18" s="48"/>
    </row>
    <row r="19" spans="1:13" ht="15.75" x14ac:dyDescent="0.25">
      <c r="A19" s="11"/>
      <c r="B19" s="3"/>
      <c r="C19" s="3"/>
      <c r="D19" s="3"/>
      <c r="E19" s="3"/>
      <c r="F19" s="3"/>
      <c r="G19" s="4"/>
      <c r="H19" s="67"/>
      <c r="I19" s="40"/>
      <c r="J19" s="41"/>
      <c r="K19" s="26" t="e">
        <f t="shared" si="0"/>
        <v>#DIV/0!</v>
      </c>
      <c r="L19" s="29" t="e">
        <f t="shared" si="1"/>
        <v>#DIV/0!</v>
      </c>
      <c r="M19" s="48"/>
    </row>
    <row r="20" spans="1:13" ht="15.75" x14ac:dyDescent="0.25">
      <c r="A20" s="8"/>
      <c r="B20" s="6"/>
      <c r="C20" s="6"/>
      <c r="D20" s="6"/>
      <c r="E20" s="6"/>
      <c r="F20" s="6"/>
      <c r="G20" s="7"/>
      <c r="H20" s="66"/>
      <c r="I20" s="10"/>
      <c r="J20" s="5"/>
      <c r="K20" s="25" t="e">
        <f t="shared" ref="K20:K24" si="2">+(C20-J20)/(A20-I20)</f>
        <v>#DIV/0!</v>
      </c>
      <c r="L20" s="29" t="e">
        <f t="shared" ref="L20:L24" si="3">+A20+(250/K20)</f>
        <v>#DIV/0!</v>
      </c>
    </row>
    <row r="21" spans="1:13" ht="15.75" x14ac:dyDescent="0.25">
      <c r="A21" s="11"/>
      <c r="B21" s="3"/>
      <c r="C21" s="3"/>
      <c r="D21" s="3"/>
      <c r="E21" s="3"/>
      <c r="F21" s="3"/>
      <c r="G21" s="4"/>
      <c r="H21" s="67"/>
      <c r="I21" s="40"/>
      <c r="J21" s="41"/>
      <c r="K21" s="26" t="e">
        <f t="shared" si="2"/>
        <v>#DIV/0!</v>
      </c>
      <c r="L21" s="29" t="e">
        <f t="shared" si="3"/>
        <v>#DIV/0!</v>
      </c>
    </row>
    <row r="22" spans="1:13" ht="15.75" x14ac:dyDescent="0.25">
      <c r="A22" s="8"/>
      <c r="B22" s="6"/>
      <c r="C22" s="6"/>
      <c r="D22" s="6"/>
      <c r="E22" s="6"/>
      <c r="F22" s="6"/>
      <c r="G22" s="7"/>
      <c r="H22" s="66"/>
      <c r="I22" s="10"/>
      <c r="J22" s="5"/>
      <c r="K22" s="25" t="e">
        <f t="shared" si="2"/>
        <v>#DIV/0!</v>
      </c>
      <c r="L22" s="29" t="e">
        <f t="shared" si="3"/>
        <v>#DIV/0!</v>
      </c>
    </row>
    <row r="23" spans="1:13" ht="15.75" x14ac:dyDescent="0.25">
      <c r="A23" s="11"/>
      <c r="B23" s="3"/>
      <c r="C23" s="3"/>
      <c r="D23" s="3"/>
      <c r="E23" s="3"/>
      <c r="F23" s="3"/>
      <c r="G23" s="4"/>
      <c r="H23" s="67"/>
      <c r="I23" s="40"/>
      <c r="J23" s="41"/>
      <c r="K23" s="26" t="e">
        <f t="shared" si="2"/>
        <v>#DIV/0!</v>
      </c>
      <c r="L23" s="29" t="e">
        <f t="shared" si="3"/>
        <v>#DIV/0!</v>
      </c>
    </row>
    <row r="24" spans="1:13" ht="15.75" x14ac:dyDescent="0.25">
      <c r="A24" s="8"/>
      <c r="B24" s="6"/>
      <c r="C24" s="6"/>
      <c r="D24" s="6"/>
      <c r="E24" s="6"/>
      <c r="F24" s="6"/>
      <c r="G24" s="7"/>
      <c r="H24" s="66"/>
      <c r="I24" s="10"/>
      <c r="J24" s="5"/>
      <c r="K24" s="25" t="e">
        <f t="shared" si="2"/>
        <v>#DIV/0!</v>
      </c>
      <c r="L24" s="29" t="e">
        <f t="shared" si="3"/>
        <v>#DIV/0!</v>
      </c>
    </row>
    <row r="25" spans="1:13" ht="15.75" x14ac:dyDescent="0.25">
      <c r="A25" s="11"/>
      <c r="B25" s="3"/>
      <c r="C25" s="3"/>
      <c r="D25" s="3"/>
      <c r="E25" s="3"/>
      <c r="F25" s="3"/>
      <c r="G25" s="4"/>
      <c r="H25" s="67"/>
      <c r="I25" s="40"/>
      <c r="J25" s="41"/>
      <c r="K25" s="26" t="e">
        <f t="shared" ref="K25:K28" si="4">+(C25-J25)/(A25-I25)</f>
        <v>#DIV/0!</v>
      </c>
      <c r="L25" s="29" t="e">
        <f t="shared" ref="L25:L28" si="5">+A25+(250/K25)</f>
        <v>#DIV/0!</v>
      </c>
    </row>
    <row r="26" spans="1:13" ht="15.75" x14ac:dyDescent="0.25">
      <c r="A26" s="8"/>
      <c r="B26" s="6"/>
      <c r="C26" s="6"/>
      <c r="D26" s="6"/>
      <c r="E26" s="6"/>
      <c r="F26" s="6"/>
      <c r="G26" s="7"/>
      <c r="H26" s="66"/>
      <c r="I26" s="10"/>
      <c r="J26" s="5"/>
      <c r="K26" s="25" t="e">
        <f t="shared" si="4"/>
        <v>#DIV/0!</v>
      </c>
      <c r="L26" s="29" t="e">
        <f t="shared" si="5"/>
        <v>#DIV/0!</v>
      </c>
    </row>
    <row r="27" spans="1:13" ht="15.75" x14ac:dyDescent="0.25">
      <c r="A27" s="11"/>
      <c r="B27" s="3"/>
      <c r="C27" s="3"/>
      <c r="D27" s="3"/>
      <c r="E27" s="3"/>
      <c r="F27" s="3"/>
      <c r="G27" s="4"/>
      <c r="H27" s="67"/>
      <c r="I27" s="40"/>
      <c r="J27" s="41"/>
      <c r="K27" s="26" t="e">
        <f t="shared" si="4"/>
        <v>#DIV/0!</v>
      </c>
      <c r="L27" s="29" t="e">
        <f t="shared" si="5"/>
        <v>#DIV/0!</v>
      </c>
    </row>
    <row r="28" spans="1:13" ht="15.75" x14ac:dyDescent="0.25">
      <c r="A28" s="8"/>
      <c r="B28" s="6"/>
      <c r="C28" s="6"/>
      <c r="D28" s="6"/>
      <c r="E28" s="6"/>
      <c r="F28" s="6"/>
      <c r="G28" s="7"/>
      <c r="H28" s="66"/>
      <c r="I28" s="10"/>
      <c r="J28" s="5"/>
      <c r="K28" s="25" t="e">
        <f t="shared" si="4"/>
        <v>#DIV/0!</v>
      </c>
      <c r="L28" s="29" t="e">
        <f t="shared" si="5"/>
        <v>#DIV/0!</v>
      </c>
    </row>
  </sheetData>
  <autoFilter ref="A3:M19"/>
  <mergeCells count="2">
    <mergeCell ref="A2:G2"/>
    <mergeCell ref="H2:K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5" zoomScaleNormal="85" workbookViewId="0">
      <selection activeCell="L17" sqref="L17"/>
    </sheetView>
  </sheetViews>
  <sheetFormatPr baseColWidth="10" defaultRowHeight="15" x14ac:dyDescent="0.25"/>
  <cols>
    <col min="3" max="3" width="8.7109375" customWidth="1"/>
    <col min="4" max="4" width="42.42578125" bestFit="1" customWidth="1"/>
    <col min="5" max="5" width="23.140625" bestFit="1" customWidth="1"/>
    <col min="8" max="8" width="11.85546875" customWidth="1"/>
    <col min="10" max="10" width="10.5703125" customWidth="1"/>
    <col min="11" max="11" width="20.7109375" bestFit="1" customWidth="1"/>
  </cols>
  <sheetData>
    <row r="1" spans="1:12" ht="19.5" thickBot="1" x14ac:dyDescent="0.35">
      <c r="A1" s="75" t="s">
        <v>16</v>
      </c>
      <c r="B1" s="76"/>
      <c r="C1" s="76"/>
      <c r="D1" s="76"/>
      <c r="E1" s="76"/>
      <c r="F1" s="77"/>
      <c r="G1" s="78" t="s">
        <v>17</v>
      </c>
      <c r="H1" s="79"/>
      <c r="I1" s="79"/>
      <c r="J1" s="80"/>
      <c r="K1" s="28" t="s">
        <v>18</v>
      </c>
    </row>
    <row r="2" spans="1:12" ht="45" x14ac:dyDescent="0.25">
      <c r="A2" s="31" t="s">
        <v>1</v>
      </c>
      <c r="B2" s="32" t="s">
        <v>0</v>
      </c>
      <c r="C2" s="32" t="s">
        <v>10</v>
      </c>
      <c r="D2" s="32" t="s">
        <v>2</v>
      </c>
      <c r="E2" s="32" t="s">
        <v>4</v>
      </c>
      <c r="F2" s="33" t="s">
        <v>3</v>
      </c>
      <c r="G2" s="34" t="s">
        <v>15</v>
      </c>
      <c r="H2" s="35" t="s">
        <v>14</v>
      </c>
      <c r="I2" s="36" t="s">
        <v>11</v>
      </c>
      <c r="J2" s="37" t="s">
        <v>12</v>
      </c>
      <c r="K2" s="38" t="s">
        <v>13</v>
      </c>
    </row>
    <row r="3" spans="1:12" ht="15.75" x14ac:dyDescent="0.25">
      <c r="A3" s="8">
        <v>45812</v>
      </c>
      <c r="B3" s="6">
        <v>7759</v>
      </c>
      <c r="C3" s="6">
        <v>316</v>
      </c>
      <c r="D3" s="6" t="s">
        <v>183</v>
      </c>
      <c r="E3" s="6" t="s">
        <v>184</v>
      </c>
      <c r="F3" s="7" t="s">
        <v>6</v>
      </c>
      <c r="G3" s="15">
        <v>6411</v>
      </c>
      <c r="H3" s="22">
        <v>45385</v>
      </c>
      <c r="I3" s="23">
        <v>224</v>
      </c>
      <c r="J3" s="25">
        <f t="shared" ref="J3:J23" si="0">+(C3-I3)/(A3-H3)</f>
        <v>0.21545667447306791</v>
      </c>
      <c r="K3" s="29">
        <f t="shared" ref="K3:K23" si="1">+A3+(250/J3)</f>
        <v>46972.32608695652</v>
      </c>
      <c r="L3" s="48" t="s">
        <v>98</v>
      </c>
    </row>
    <row r="4" spans="1:12" ht="15.75" x14ac:dyDescent="0.25">
      <c r="A4" s="11">
        <v>45813</v>
      </c>
      <c r="B4" s="3">
        <v>7763</v>
      </c>
      <c r="C4" s="3">
        <v>957</v>
      </c>
      <c r="D4" s="3" t="s">
        <v>185</v>
      </c>
      <c r="E4" s="3" t="s">
        <v>186</v>
      </c>
      <c r="F4" s="4" t="s">
        <v>6</v>
      </c>
      <c r="G4" s="12">
        <v>7087</v>
      </c>
      <c r="H4" s="13">
        <v>45610</v>
      </c>
      <c r="I4" s="14">
        <v>730</v>
      </c>
      <c r="J4" s="26">
        <f t="shared" si="0"/>
        <v>1.1182266009852218</v>
      </c>
      <c r="K4" s="29">
        <f t="shared" si="1"/>
        <v>46036.568281938329</v>
      </c>
      <c r="L4" s="48" t="s">
        <v>98</v>
      </c>
    </row>
    <row r="5" spans="1:12" ht="15.75" x14ac:dyDescent="0.25">
      <c r="A5" s="8">
        <v>45818</v>
      </c>
      <c r="B5" s="6">
        <v>7773</v>
      </c>
      <c r="C5" s="6" t="s">
        <v>90</v>
      </c>
      <c r="D5" s="6" t="s">
        <v>187</v>
      </c>
      <c r="E5" s="6" t="s">
        <v>188</v>
      </c>
      <c r="F5" s="7" t="s">
        <v>5</v>
      </c>
      <c r="G5" s="15" t="s">
        <v>90</v>
      </c>
      <c r="H5" s="22" t="s">
        <v>90</v>
      </c>
      <c r="I5" s="23" t="s">
        <v>90</v>
      </c>
      <c r="J5" s="25" t="e">
        <f t="shared" si="0"/>
        <v>#VALUE!</v>
      </c>
      <c r="K5" s="29" t="e">
        <f t="shared" si="1"/>
        <v>#VALUE!</v>
      </c>
      <c r="L5" s="48" t="s">
        <v>98</v>
      </c>
    </row>
    <row r="6" spans="1:12" ht="15.75" x14ac:dyDescent="0.25">
      <c r="A6" s="11">
        <v>45818</v>
      </c>
      <c r="B6" s="3">
        <v>7777</v>
      </c>
      <c r="C6" s="3">
        <v>4650</v>
      </c>
      <c r="D6" s="3" t="s">
        <v>189</v>
      </c>
      <c r="E6" s="3">
        <v>2364</v>
      </c>
      <c r="F6" s="4" t="s">
        <v>6</v>
      </c>
      <c r="G6" s="12">
        <v>6337</v>
      </c>
      <c r="H6" s="13">
        <v>45345</v>
      </c>
      <c r="I6" s="14">
        <v>4128</v>
      </c>
      <c r="J6" s="26">
        <f t="shared" si="0"/>
        <v>1.1035940803382664</v>
      </c>
      <c r="K6" s="29">
        <f t="shared" si="1"/>
        <v>46044.532567049806</v>
      </c>
      <c r="L6" s="48" t="s">
        <v>98</v>
      </c>
    </row>
    <row r="7" spans="1:12" ht="15.75" x14ac:dyDescent="0.25">
      <c r="A7" s="8">
        <v>45818</v>
      </c>
      <c r="B7" s="6">
        <v>7778</v>
      </c>
      <c r="C7" s="6">
        <v>261</v>
      </c>
      <c r="D7" s="6" t="s">
        <v>42</v>
      </c>
      <c r="E7" s="6" t="s">
        <v>43</v>
      </c>
      <c r="F7" s="7" t="s">
        <v>6</v>
      </c>
      <c r="G7" s="9">
        <v>7284</v>
      </c>
      <c r="H7" s="10">
        <v>45673</v>
      </c>
      <c r="I7" s="24">
        <v>125</v>
      </c>
      <c r="J7" s="25">
        <f t="shared" si="0"/>
        <v>0.93793103448275861</v>
      </c>
      <c r="K7" s="29">
        <f t="shared" si="1"/>
        <v>46084.544117647056</v>
      </c>
      <c r="L7" s="48" t="s">
        <v>98</v>
      </c>
    </row>
    <row r="8" spans="1:12" ht="15.75" x14ac:dyDescent="0.25">
      <c r="A8" s="11">
        <v>45821</v>
      </c>
      <c r="B8" s="3">
        <v>7780</v>
      </c>
      <c r="C8" s="57">
        <v>9699</v>
      </c>
      <c r="D8" s="3" t="s">
        <v>35</v>
      </c>
      <c r="E8" s="3" t="s">
        <v>132</v>
      </c>
      <c r="F8" s="4" t="s">
        <v>6</v>
      </c>
      <c r="G8" s="12" t="s">
        <v>90</v>
      </c>
      <c r="H8" s="13" t="s">
        <v>90</v>
      </c>
      <c r="I8" s="14" t="s">
        <v>90</v>
      </c>
      <c r="J8" s="26" t="e">
        <f t="shared" si="0"/>
        <v>#VALUE!</v>
      </c>
      <c r="K8" s="29" t="e">
        <f t="shared" si="1"/>
        <v>#VALUE!</v>
      </c>
      <c r="L8" s="48" t="s">
        <v>213</v>
      </c>
    </row>
    <row r="9" spans="1:12" ht="15.75" x14ac:dyDescent="0.25">
      <c r="A9" s="8">
        <v>45821</v>
      </c>
      <c r="B9" s="6">
        <v>7781</v>
      </c>
      <c r="C9" s="6">
        <v>302</v>
      </c>
      <c r="D9" s="6" t="s">
        <v>125</v>
      </c>
      <c r="E9" s="6" t="s">
        <v>126</v>
      </c>
      <c r="F9" s="7" t="s">
        <v>6</v>
      </c>
      <c r="G9" s="9">
        <v>7543</v>
      </c>
      <c r="H9" s="10">
        <v>45744</v>
      </c>
      <c r="I9" s="5">
        <v>110</v>
      </c>
      <c r="J9" s="25">
        <f t="shared" si="0"/>
        <v>2.4935064935064934</v>
      </c>
      <c r="K9" s="29">
        <f t="shared" si="1"/>
        <v>45921.260416666664</v>
      </c>
      <c r="L9" s="48" t="s">
        <v>98</v>
      </c>
    </row>
    <row r="10" spans="1:12" ht="15.75" x14ac:dyDescent="0.25">
      <c r="A10" s="11">
        <v>45821</v>
      </c>
      <c r="B10" s="3">
        <v>7782</v>
      </c>
      <c r="C10" s="3">
        <v>812</v>
      </c>
      <c r="D10" s="3" t="s">
        <v>142</v>
      </c>
      <c r="E10" s="3" t="s">
        <v>143</v>
      </c>
      <c r="F10" s="4" t="s">
        <v>6</v>
      </c>
      <c r="G10" s="12" t="s">
        <v>90</v>
      </c>
      <c r="H10" s="13" t="s">
        <v>90</v>
      </c>
      <c r="I10" s="14" t="s">
        <v>90</v>
      </c>
      <c r="J10" s="26" t="e">
        <f t="shared" si="0"/>
        <v>#VALUE!</v>
      </c>
      <c r="K10" s="29" t="e">
        <f t="shared" si="1"/>
        <v>#VALUE!</v>
      </c>
      <c r="L10" s="48" t="s">
        <v>98</v>
      </c>
    </row>
    <row r="11" spans="1:12" ht="15.75" x14ac:dyDescent="0.25">
      <c r="A11" s="8">
        <v>45821</v>
      </c>
      <c r="B11" s="6">
        <v>7783</v>
      </c>
      <c r="C11" s="6">
        <v>1604</v>
      </c>
      <c r="D11" s="6" t="s">
        <v>170</v>
      </c>
      <c r="E11" s="6" t="s">
        <v>190</v>
      </c>
      <c r="F11" s="7" t="s">
        <v>6</v>
      </c>
      <c r="G11" s="9">
        <v>7137</v>
      </c>
      <c r="H11" s="10">
        <v>45622</v>
      </c>
      <c r="I11" s="5">
        <v>1293</v>
      </c>
      <c r="J11" s="25">
        <f t="shared" si="0"/>
        <v>1.5628140703517588</v>
      </c>
      <c r="K11" s="29">
        <f t="shared" si="1"/>
        <v>45980.967845659165</v>
      </c>
      <c r="L11" s="48" t="s">
        <v>98</v>
      </c>
    </row>
    <row r="12" spans="1:12" ht="15.75" x14ac:dyDescent="0.25">
      <c r="A12" s="11">
        <v>45820</v>
      </c>
      <c r="B12" s="3">
        <v>7785</v>
      </c>
      <c r="C12" s="3">
        <v>9464</v>
      </c>
      <c r="D12" s="3" t="s">
        <v>51</v>
      </c>
      <c r="E12" s="3" t="s">
        <v>54</v>
      </c>
      <c r="F12" s="4" t="s">
        <v>6</v>
      </c>
      <c r="G12" s="39">
        <v>7333</v>
      </c>
      <c r="H12" s="40">
        <v>45687</v>
      </c>
      <c r="I12" s="41">
        <v>8989</v>
      </c>
      <c r="J12" s="26">
        <f t="shared" si="0"/>
        <v>3.5714285714285716</v>
      </c>
      <c r="K12" s="29">
        <f t="shared" si="1"/>
        <v>45890</v>
      </c>
      <c r="L12" s="48" t="s">
        <v>98</v>
      </c>
    </row>
    <row r="13" spans="1:12" ht="15.75" x14ac:dyDescent="0.25">
      <c r="A13" s="8">
        <v>45825</v>
      </c>
      <c r="B13" s="6">
        <v>7787</v>
      </c>
      <c r="C13" s="6">
        <v>3058</v>
      </c>
      <c r="D13" s="6" t="s">
        <v>31</v>
      </c>
      <c r="E13" s="6" t="s">
        <v>32</v>
      </c>
      <c r="F13" s="7" t="s">
        <v>6</v>
      </c>
      <c r="G13" s="9">
        <v>7568</v>
      </c>
      <c r="H13" s="10">
        <v>45754</v>
      </c>
      <c r="I13" s="5">
        <v>2782</v>
      </c>
      <c r="J13" s="25">
        <f t="shared" si="0"/>
        <v>3.887323943661972</v>
      </c>
      <c r="K13" s="29">
        <f t="shared" si="1"/>
        <v>45889.311594202896</v>
      </c>
      <c r="L13" s="48" t="s">
        <v>98</v>
      </c>
    </row>
    <row r="14" spans="1:12" ht="15.75" x14ac:dyDescent="0.25">
      <c r="A14" s="11">
        <v>45826</v>
      </c>
      <c r="B14" s="3">
        <v>7793</v>
      </c>
      <c r="C14" s="3">
        <v>1890</v>
      </c>
      <c r="D14" s="3" t="s">
        <v>191</v>
      </c>
      <c r="E14" s="3" t="s">
        <v>192</v>
      </c>
      <c r="F14" s="4" t="s">
        <v>6</v>
      </c>
      <c r="G14" s="12">
        <v>7010</v>
      </c>
      <c r="H14" s="13">
        <v>45583</v>
      </c>
      <c r="I14" s="14">
        <v>1649</v>
      </c>
      <c r="J14" s="26">
        <f t="shared" si="0"/>
        <v>0.99176954732510292</v>
      </c>
      <c r="K14" s="29">
        <f t="shared" si="1"/>
        <v>46078.074688796682</v>
      </c>
      <c r="L14" s="48" t="s">
        <v>98</v>
      </c>
    </row>
    <row r="15" spans="1:12" ht="15.75" x14ac:dyDescent="0.25">
      <c r="A15" s="8">
        <v>45832</v>
      </c>
      <c r="B15" s="6">
        <v>7794</v>
      </c>
      <c r="C15" s="6">
        <v>152</v>
      </c>
      <c r="D15" s="6" t="s">
        <v>193</v>
      </c>
      <c r="E15" s="6" t="s">
        <v>194</v>
      </c>
      <c r="F15" s="7" t="s">
        <v>6</v>
      </c>
      <c r="G15" s="9">
        <v>7666</v>
      </c>
      <c r="H15" s="10">
        <v>45783</v>
      </c>
      <c r="I15" s="5">
        <v>65</v>
      </c>
      <c r="J15" s="25">
        <f t="shared" si="0"/>
        <v>1.7755102040816326</v>
      </c>
      <c r="K15" s="29">
        <f>+A15+(250/J15)</f>
        <v>45972.80459770115</v>
      </c>
      <c r="L15" s="48" t="s">
        <v>98</v>
      </c>
    </row>
    <row r="16" spans="1:12" ht="15.75" x14ac:dyDescent="0.25">
      <c r="A16" s="11">
        <v>45820</v>
      </c>
      <c r="B16" s="3">
        <v>7806</v>
      </c>
      <c r="C16" s="3">
        <v>899</v>
      </c>
      <c r="D16" s="3" t="s">
        <v>122</v>
      </c>
      <c r="E16" s="3" t="s">
        <v>123</v>
      </c>
      <c r="F16" s="4" t="s">
        <v>5</v>
      </c>
      <c r="G16" s="12">
        <v>7541</v>
      </c>
      <c r="H16" s="13">
        <v>45744</v>
      </c>
      <c r="I16" s="14">
        <v>666</v>
      </c>
      <c r="J16" s="26">
        <f t="shared" si="0"/>
        <v>3.0657894736842106</v>
      </c>
      <c r="K16" s="29">
        <f t="shared" si="1"/>
        <v>45901.545064377686</v>
      </c>
      <c r="L16" s="48" t="s">
        <v>98</v>
      </c>
    </row>
    <row r="17" spans="1:14" ht="15.75" x14ac:dyDescent="0.25">
      <c r="A17" s="8"/>
      <c r="B17" s="6"/>
      <c r="C17" s="6"/>
      <c r="D17" s="6"/>
      <c r="E17" s="6"/>
      <c r="F17" s="7"/>
      <c r="G17" s="9"/>
      <c r="H17" s="10"/>
      <c r="I17" s="5"/>
      <c r="J17" s="25" t="e">
        <f t="shared" si="0"/>
        <v>#DIV/0!</v>
      </c>
      <c r="K17" s="29" t="e">
        <f t="shared" si="1"/>
        <v>#DIV/0!</v>
      </c>
      <c r="L17" s="47"/>
    </row>
    <row r="18" spans="1:14" ht="15.75" x14ac:dyDescent="0.25">
      <c r="A18" s="11"/>
      <c r="B18" s="3"/>
      <c r="C18" s="3"/>
      <c r="D18" s="3"/>
      <c r="E18" s="3"/>
      <c r="F18" s="4"/>
      <c r="G18" s="39"/>
      <c r="H18" s="40"/>
      <c r="I18" s="41"/>
      <c r="J18" s="26" t="e">
        <f t="shared" si="0"/>
        <v>#DIV/0!</v>
      </c>
      <c r="K18" s="29" t="e">
        <f t="shared" si="1"/>
        <v>#DIV/0!</v>
      </c>
      <c r="L18" s="47"/>
    </row>
    <row r="19" spans="1:14" ht="15.75" x14ac:dyDescent="0.25">
      <c r="A19" s="8"/>
      <c r="B19" s="6"/>
      <c r="C19" s="6"/>
      <c r="D19" s="6"/>
      <c r="E19" s="6"/>
      <c r="F19" s="7"/>
      <c r="G19" s="9"/>
      <c r="H19" s="10"/>
      <c r="I19" s="5"/>
      <c r="J19" s="25" t="e">
        <f t="shared" si="0"/>
        <v>#DIV/0!</v>
      </c>
      <c r="K19" s="29" t="e">
        <f t="shared" si="1"/>
        <v>#DIV/0!</v>
      </c>
      <c r="L19" s="47"/>
      <c r="N19" s="46" t="s">
        <v>23</v>
      </c>
    </row>
    <row r="20" spans="1:14" ht="15.75" x14ac:dyDescent="0.25">
      <c r="A20" s="11"/>
      <c r="B20" s="3"/>
      <c r="C20" s="3"/>
      <c r="D20" s="3"/>
      <c r="E20" s="3"/>
      <c r="F20" s="4"/>
      <c r="G20" s="70"/>
      <c r="H20" s="13"/>
      <c r="I20" s="14"/>
      <c r="J20" s="26" t="e">
        <f t="shared" si="0"/>
        <v>#DIV/0!</v>
      </c>
      <c r="K20" s="29" t="e">
        <f t="shared" si="1"/>
        <v>#DIV/0!</v>
      </c>
      <c r="L20" s="47"/>
    </row>
    <row r="21" spans="1:14" ht="15.75" x14ac:dyDescent="0.25">
      <c r="A21" s="8"/>
      <c r="B21" s="6"/>
      <c r="C21" s="6"/>
      <c r="D21" s="6"/>
      <c r="E21" s="6"/>
      <c r="F21" s="7"/>
      <c r="G21" s="9"/>
      <c r="H21" s="10"/>
      <c r="I21" s="5"/>
      <c r="J21" s="25" t="e">
        <f t="shared" si="0"/>
        <v>#DIV/0!</v>
      </c>
      <c r="K21" s="29" t="e">
        <f t="shared" si="1"/>
        <v>#DIV/0!</v>
      </c>
      <c r="L21" s="47"/>
    </row>
    <row r="22" spans="1:14" ht="15.75" x14ac:dyDescent="0.25">
      <c r="A22" s="11"/>
      <c r="B22" s="3"/>
      <c r="C22" s="3"/>
      <c r="D22" s="3"/>
      <c r="E22" s="3"/>
      <c r="F22" s="4"/>
      <c r="G22" s="12"/>
      <c r="H22" s="13"/>
      <c r="I22" s="14"/>
      <c r="J22" s="26" t="e">
        <f t="shared" si="0"/>
        <v>#DIV/0!</v>
      </c>
      <c r="K22" s="29" t="e">
        <f>+A22+(131/J22)</f>
        <v>#DIV/0!</v>
      </c>
      <c r="L22" s="47"/>
    </row>
    <row r="23" spans="1:14" ht="16.5" thickBot="1" x14ac:dyDescent="0.3">
      <c r="A23" s="16"/>
      <c r="B23" s="17"/>
      <c r="C23" s="17"/>
      <c r="D23" s="17"/>
      <c r="E23" s="17"/>
      <c r="F23" s="18"/>
      <c r="G23" s="19"/>
      <c r="H23" s="20"/>
      <c r="I23" s="21"/>
      <c r="J23" s="27" t="e">
        <f t="shared" si="0"/>
        <v>#DIV/0!</v>
      </c>
      <c r="K23" s="30" t="e">
        <f t="shared" si="1"/>
        <v>#DIV/0!</v>
      </c>
      <c r="L23" s="47"/>
    </row>
  </sheetData>
  <autoFilter ref="A2:L23"/>
  <mergeCells count="2">
    <mergeCell ref="A1:F1"/>
    <mergeCell ref="G1:J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opLeftCell="A4" zoomScale="85" zoomScaleNormal="85" workbookViewId="0">
      <selection activeCell="M27" sqref="M27"/>
    </sheetView>
  </sheetViews>
  <sheetFormatPr baseColWidth="10" defaultRowHeight="15" x14ac:dyDescent="0.25"/>
  <cols>
    <col min="2" max="2" width="9.28515625" bestFit="1" customWidth="1"/>
    <col min="3" max="3" width="6.5703125" bestFit="1" customWidth="1"/>
    <col min="4" max="4" width="6.5703125" customWidth="1"/>
    <col min="5" max="5" width="43" bestFit="1" customWidth="1"/>
    <col min="6" max="6" width="25.140625" customWidth="1"/>
    <col min="7" max="7" width="7.85546875" customWidth="1"/>
    <col min="8" max="8" width="11.85546875" bestFit="1" customWidth="1"/>
    <col min="9" max="9" width="11.42578125" customWidth="1"/>
    <col min="10" max="10" width="9.42578125" bestFit="1" customWidth="1"/>
    <col min="11" max="11" width="14.42578125" bestFit="1" customWidth="1"/>
    <col min="12" max="12" width="21.42578125" customWidth="1"/>
    <col min="13" max="13" width="13.7109375" customWidth="1"/>
  </cols>
  <sheetData>
    <row r="1" spans="1:21" ht="19.5" thickBot="1" x14ac:dyDescent="0.35">
      <c r="A1" s="75" t="s">
        <v>16</v>
      </c>
      <c r="B1" s="76"/>
      <c r="C1" s="76"/>
      <c r="D1" s="76"/>
      <c r="E1" s="76"/>
      <c r="F1" s="76"/>
      <c r="G1" s="77"/>
      <c r="H1" s="78" t="s">
        <v>17</v>
      </c>
      <c r="I1" s="79"/>
      <c r="J1" s="79"/>
      <c r="K1" s="80"/>
      <c r="L1" s="28" t="s">
        <v>18</v>
      </c>
    </row>
    <row r="2" spans="1:21" ht="60" x14ac:dyDescent="0.25">
      <c r="A2" s="31" t="s">
        <v>1</v>
      </c>
      <c r="B2" s="32" t="s">
        <v>0</v>
      </c>
      <c r="C2" s="32" t="s">
        <v>10</v>
      </c>
      <c r="D2" s="49" t="s">
        <v>22</v>
      </c>
      <c r="E2" s="32" t="s">
        <v>2</v>
      </c>
      <c r="F2" s="32" t="s">
        <v>4</v>
      </c>
      <c r="G2" s="33" t="s">
        <v>3</v>
      </c>
      <c r="H2" s="34" t="s">
        <v>19</v>
      </c>
      <c r="I2" s="35" t="s">
        <v>14</v>
      </c>
      <c r="J2" s="36" t="s">
        <v>11</v>
      </c>
      <c r="K2" s="37" t="s">
        <v>12</v>
      </c>
      <c r="L2" s="38" t="s">
        <v>13</v>
      </c>
    </row>
    <row r="3" spans="1:21" ht="15.75" x14ac:dyDescent="0.25">
      <c r="A3" s="8">
        <v>45838</v>
      </c>
      <c r="B3" s="6">
        <v>7813</v>
      </c>
      <c r="C3" s="6">
        <v>4689</v>
      </c>
      <c r="D3" s="6" t="s">
        <v>56</v>
      </c>
      <c r="E3" s="6" t="s">
        <v>62</v>
      </c>
      <c r="F3" s="6" t="s">
        <v>63</v>
      </c>
      <c r="G3" s="7" t="s">
        <v>5</v>
      </c>
      <c r="H3" s="15">
        <v>7356</v>
      </c>
      <c r="I3" s="22">
        <v>45694</v>
      </c>
      <c r="J3" s="23">
        <v>4166</v>
      </c>
      <c r="K3" s="25">
        <f t="shared" ref="K3:K29" si="0">+(C3-J3)/(A3-I3)</f>
        <v>3.6319444444444446</v>
      </c>
      <c r="L3" s="29">
        <f t="shared" ref="L3:L23" si="1">+A3+(250/K3)</f>
        <v>45906.833652007648</v>
      </c>
      <c r="M3" s="48" t="s">
        <v>98</v>
      </c>
      <c r="O3" s="81"/>
      <c r="P3" s="81"/>
      <c r="Q3" s="81"/>
      <c r="R3" s="81"/>
      <c r="S3" s="81"/>
      <c r="T3" s="81"/>
      <c r="U3" s="81"/>
    </row>
    <row r="4" spans="1:21" ht="15.75" x14ac:dyDescent="0.25">
      <c r="A4" s="11">
        <v>45839</v>
      </c>
      <c r="B4" s="3">
        <v>7831</v>
      </c>
      <c r="C4" s="3">
        <v>5208</v>
      </c>
      <c r="D4" s="3" t="s">
        <v>50</v>
      </c>
      <c r="E4" s="3" t="s">
        <v>51</v>
      </c>
      <c r="F4" s="3" t="s">
        <v>52</v>
      </c>
      <c r="G4" s="4" t="s">
        <v>6</v>
      </c>
      <c r="H4" s="12" t="s">
        <v>90</v>
      </c>
      <c r="I4" s="13" t="s">
        <v>90</v>
      </c>
      <c r="J4" s="14" t="s">
        <v>90</v>
      </c>
      <c r="K4" s="26" t="e">
        <f t="shared" si="0"/>
        <v>#VALUE!</v>
      </c>
      <c r="L4" s="29" t="e">
        <f t="shared" si="1"/>
        <v>#VALUE!</v>
      </c>
      <c r="M4" s="48" t="s">
        <v>209</v>
      </c>
    </row>
    <row r="5" spans="1:21" ht="15.75" x14ac:dyDescent="0.25">
      <c r="A5" s="8">
        <v>45839</v>
      </c>
      <c r="B5" s="68">
        <v>7832</v>
      </c>
      <c r="C5" s="6">
        <v>10254</v>
      </c>
      <c r="D5" s="6" t="s">
        <v>195</v>
      </c>
      <c r="E5" s="6" t="s">
        <v>51</v>
      </c>
      <c r="F5" s="6" t="s">
        <v>99</v>
      </c>
      <c r="G5" s="7" t="s">
        <v>6</v>
      </c>
      <c r="H5" s="15" t="s">
        <v>90</v>
      </c>
      <c r="I5" s="22" t="s">
        <v>90</v>
      </c>
      <c r="J5" s="23" t="s">
        <v>90</v>
      </c>
      <c r="K5" s="25" t="e">
        <f t="shared" si="0"/>
        <v>#VALUE!</v>
      </c>
      <c r="L5" s="29" t="e">
        <f t="shared" si="1"/>
        <v>#VALUE!</v>
      </c>
      <c r="M5" s="48" t="s">
        <v>210</v>
      </c>
    </row>
    <row r="6" spans="1:21" ht="15.75" x14ac:dyDescent="0.25">
      <c r="A6" s="11">
        <v>45840</v>
      </c>
      <c r="B6" s="3">
        <v>7835</v>
      </c>
      <c r="C6" s="3">
        <v>15754</v>
      </c>
      <c r="D6" s="3" t="s">
        <v>50</v>
      </c>
      <c r="E6" s="3" t="s">
        <v>28</v>
      </c>
      <c r="F6" s="3">
        <v>2894</v>
      </c>
      <c r="G6" s="4" t="s">
        <v>6</v>
      </c>
      <c r="H6" s="12">
        <v>7607</v>
      </c>
      <c r="I6" s="13">
        <v>45763</v>
      </c>
      <c r="J6" s="14">
        <v>15448</v>
      </c>
      <c r="K6" s="26">
        <f t="shared" si="0"/>
        <v>3.9740259740259742</v>
      </c>
      <c r="L6" s="29">
        <f t="shared" si="1"/>
        <v>45902.908496732023</v>
      </c>
      <c r="M6" s="48" t="s">
        <v>98</v>
      </c>
    </row>
    <row r="7" spans="1:21" ht="15.75" x14ac:dyDescent="0.25">
      <c r="A7" s="8">
        <v>45841</v>
      </c>
      <c r="B7" s="6">
        <v>7837</v>
      </c>
      <c r="C7" s="42">
        <v>7481</v>
      </c>
      <c r="D7" s="42" t="s">
        <v>117</v>
      </c>
      <c r="E7" s="6" t="s">
        <v>71</v>
      </c>
      <c r="F7" s="6" t="s">
        <v>72</v>
      </c>
      <c r="G7" s="7" t="s">
        <v>6</v>
      </c>
      <c r="H7" s="9">
        <v>7690</v>
      </c>
      <c r="I7" s="10">
        <v>45789</v>
      </c>
      <c r="J7" s="43">
        <v>7123</v>
      </c>
      <c r="K7" s="25">
        <f t="shared" si="0"/>
        <v>6.884615384615385</v>
      </c>
      <c r="L7" s="29">
        <f t="shared" si="1"/>
        <v>45877.312849162008</v>
      </c>
      <c r="M7" s="48" t="s">
        <v>214</v>
      </c>
    </row>
    <row r="8" spans="1:21" ht="15.75" x14ac:dyDescent="0.25">
      <c r="A8" s="11">
        <v>45842</v>
      </c>
      <c r="B8" s="3">
        <v>7838</v>
      </c>
      <c r="C8" s="3">
        <v>179</v>
      </c>
      <c r="D8" s="3" t="s">
        <v>24</v>
      </c>
      <c r="E8" s="3" t="s">
        <v>196</v>
      </c>
      <c r="F8" s="3" t="s">
        <v>197</v>
      </c>
      <c r="G8" s="4" t="s">
        <v>6</v>
      </c>
      <c r="H8" s="39">
        <v>7498</v>
      </c>
      <c r="I8" s="40">
        <v>45728</v>
      </c>
      <c r="J8" s="41">
        <v>3</v>
      </c>
      <c r="K8" s="26">
        <f t="shared" si="0"/>
        <v>1.5438596491228069</v>
      </c>
      <c r="L8" s="29">
        <f t="shared" si="1"/>
        <v>46003.931818181816</v>
      </c>
      <c r="M8" s="48" t="s">
        <v>98</v>
      </c>
    </row>
    <row r="9" spans="1:21" ht="15.75" x14ac:dyDescent="0.25">
      <c r="A9" s="8">
        <v>45842</v>
      </c>
      <c r="B9" s="6">
        <v>7839</v>
      </c>
      <c r="C9" s="6">
        <v>4354</v>
      </c>
      <c r="D9" s="6" t="s">
        <v>53</v>
      </c>
      <c r="E9" s="6" t="s">
        <v>134</v>
      </c>
      <c r="F9" s="6" t="s">
        <v>135</v>
      </c>
      <c r="G9" s="7" t="s">
        <v>6</v>
      </c>
      <c r="H9" s="15">
        <v>7580</v>
      </c>
      <c r="I9" s="22">
        <v>45755</v>
      </c>
      <c r="J9" s="23">
        <v>4127</v>
      </c>
      <c r="K9" s="25">
        <f t="shared" si="0"/>
        <v>2.6091954022988504</v>
      </c>
      <c r="L9" s="29">
        <f t="shared" si="1"/>
        <v>45937.814977973569</v>
      </c>
      <c r="M9" s="48" t="s">
        <v>98</v>
      </c>
    </row>
    <row r="10" spans="1:21" ht="15.75" x14ac:dyDescent="0.25">
      <c r="A10" s="11">
        <v>45842</v>
      </c>
      <c r="B10" s="3">
        <v>7845</v>
      </c>
      <c r="C10" s="3">
        <v>2288</v>
      </c>
      <c r="D10" s="3" t="s">
        <v>50</v>
      </c>
      <c r="E10" s="3" t="s">
        <v>60</v>
      </c>
      <c r="F10" s="3" t="s">
        <v>61</v>
      </c>
      <c r="G10" s="4" t="s">
        <v>6</v>
      </c>
      <c r="H10" s="12">
        <v>7348</v>
      </c>
      <c r="I10" s="13">
        <v>45694</v>
      </c>
      <c r="J10" s="14">
        <v>1961</v>
      </c>
      <c r="K10" s="26">
        <f t="shared" si="0"/>
        <v>2.2094594594594597</v>
      </c>
      <c r="L10" s="29">
        <f t="shared" si="1"/>
        <v>45955.149847094799</v>
      </c>
      <c r="M10" s="48" t="s">
        <v>98</v>
      </c>
    </row>
    <row r="11" spans="1:21" ht="15.75" x14ac:dyDescent="0.25">
      <c r="A11" s="8">
        <v>45848</v>
      </c>
      <c r="B11" s="6">
        <v>7864</v>
      </c>
      <c r="C11" s="6">
        <v>2976</v>
      </c>
      <c r="D11" s="6" t="s">
        <v>50</v>
      </c>
      <c r="E11" s="6" t="s">
        <v>198</v>
      </c>
      <c r="F11" s="6" t="s">
        <v>199</v>
      </c>
      <c r="G11" s="7" t="s">
        <v>6</v>
      </c>
      <c r="H11" s="9">
        <v>7199</v>
      </c>
      <c r="I11" s="10">
        <v>45636</v>
      </c>
      <c r="J11" s="5">
        <v>2360</v>
      </c>
      <c r="K11" s="25">
        <f t="shared" si="0"/>
        <v>2.9056603773584904</v>
      </c>
      <c r="L11" s="29">
        <f t="shared" si="1"/>
        <v>45934.038961038961</v>
      </c>
      <c r="M11" s="48" t="s">
        <v>98</v>
      </c>
    </row>
    <row r="12" spans="1:21" ht="15.75" x14ac:dyDescent="0.25">
      <c r="A12" s="11">
        <v>45853</v>
      </c>
      <c r="B12" s="3">
        <v>7874</v>
      </c>
      <c r="C12" s="3">
        <v>3638</v>
      </c>
      <c r="D12" s="3" t="s">
        <v>53</v>
      </c>
      <c r="E12" s="3" t="s">
        <v>112</v>
      </c>
      <c r="F12" s="3" t="s">
        <v>113</v>
      </c>
      <c r="G12" s="4" t="s">
        <v>6</v>
      </c>
      <c r="H12" s="39">
        <v>7732</v>
      </c>
      <c r="I12" s="40">
        <v>45804</v>
      </c>
      <c r="J12" s="41">
        <v>3511</v>
      </c>
      <c r="K12" s="26">
        <f t="shared" si="0"/>
        <v>2.5918367346938775</v>
      </c>
      <c r="L12" s="29">
        <f t="shared" si="1"/>
        <v>45949.456692913387</v>
      </c>
      <c r="M12" s="48" t="s">
        <v>98</v>
      </c>
    </row>
    <row r="13" spans="1:21" ht="15.75" x14ac:dyDescent="0.25">
      <c r="A13" s="8">
        <v>45855</v>
      </c>
      <c r="B13" s="6">
        <v>7881</v>
      </c>
      <c r="C13" s="6">
        <v>1072</v>
      </c>
      <c r="D13" s="6" t="s">
        <v>56</v>
      </c>
      <c r="E13" s="6" t="s">
        <v>122</v>
      </c>
      <c r="F13" s="6" t="s">
        <v>124</v>
      </c>
      <c r="G13" s="7" t="s">
        <v>6</v>
      </c>
      <c r="H13" s="9">
        <v>7542</v>
      </c>
      <c r="I13" s="10">
        <v>45744</v>
      </c>
      <c r="J13" s="5">
        <v>760</v>
      </c>
      <c r="K13" s="25">
        <f t="shared" si="0"/>
        <v>2.810810810810811</v>
      </c>
      <c r="L13" s="29">
        <f t="shared" si="1"/>
        <v>45943.942307692305</v>
      </c>
      <c r="M13" s="48" t="s">
        <v>98</v>
      </c>
    </row>
    <row r="14" spans="1:21" ht="15.75" x14ac:dyDescent="0.25">
      <c r="A14" s="11">
        <v>45855</v>
      </c>
      <c r="B14" s="3">
        <v>7882</v>
      </c>
      <c r="C14" s="3">
        <v>612</v>
      </c>
      <c r="D14" s="3" t="s">
        <v>53</v>
      </c>
      <c r="E14" s="3" t="s">
        <v>118</v>
      </c>
      <c r="F14" s="3" t="s">
        <v>119</v>
      </c>
      <c r="G14" s="4" t="s">
        <v>6</v>
      </c>
      <c r="H14" s="12">
        <v>7495</v>
      </c>
      <c r="I14" s="13">
        <v>45735</v>
      </c>
      <c r="J14" s="14">
        <v>263</v>
      </c>
      <c r="K14" s="26">
        <f t="shared" si="0"/>
        <v>2.9083333333333332</v>
      </c>
      <c r="L14" s="29">
        <f t="shared" si="1"/>
        <v>45940.959885386823</v>
      </c>
      <c r="M14" s="48" t="s">
        <v>98</v>
      </c>
    </row>
    <row r="15" spans="1:21" ht="15.75" x14ac:dyDescent="0.25">
      <c r="A15" s="8">
        <v>45860</v>
      </c>
      <c r="B15" s="6">
        <v>7894</v>
      </c>
      <c r="C15" s="6">
        <v>1587</v>
      </c>
      <c r="D15" s="6" t="s">
        <v>73</v>
      </c>
      <c r="E15" s="6" t="s">
        <v>68</v>
      </c>
      <c r="F15" s="6" t="s">
        <v>69</v>
      </c>
      <c r="G15" s="7" t="s">
        <v>6</v>
      </c>
      <c r="H15" s="9">
        <v>7616</v>
      </c>
      <c r="I15" s="10">
        <v>45764</v>
      </c>
      <c r="J15" s="5">
        <v>1220</v>
      </c>
      <c r="K15" s="25">
        <f t="shared" si="0"/>
        <v>3.8229166666666665</v>
      </c>
      <c r="L15" s="29">
        <f>+A15+(150/K15)</f>
        <v>45899.237057220707</v>
      </c>
      <c r="M15" s="48" t="s">
        <v>98</v>
      </c>
    </row>
    <row r="16" spans="1:21" ht="15.75" x14ac:dyDescent="0.25">
      <c r="A16" s="11">
        <v>45860</v>
      </c>
      <c r="B16" s="3">
        <v>7895</v>
      </c>
      <c r="C16" s="3">
        <v>8325</v>
      </c>
      <c r="D16" s="3" t="s">
        <v>73</v>
      </c>
      <c r="E16" s="3" t="s">
        <v>68</v>
      </c>
      <c r="F16" s="3" t="s">
        <v>70</v>
      </c>
      <c r="G16" s="4" t="s">
        <v>6</v>
      </c>
      <c r="H16" s="12">
        <v>7615</v>
      </c>
      <c r="I16" s="13">
        <v>45764</v>
      </c>
      <c r="J16" s="14">
        <v>8047</v>
      </c>
      <c r="K16" s="26">
        <f t="shared" si="0"/>
        <v>2.8958333333333335</v>
      </c>
      <c r="L16" s="29">
        <f t="shared" si="1"/>
        <v>45946.330935251797</v>
      </c>
      <c r="M16" s="48" t="s">
        <v>98</v>
      </c>
    </row>
    <row r="17" spans="1:13" ht="15.75" x14ac:dyDescent="0.25">
      <c r="A17" s="8">
        <v>45860</v>
      </c>
      <c r="B17" s="6">
        <v>7896</v>
      </c>
      <c r="C17" s="6">
        <v>10974</v>
      </c>
      <c r="D17" s="6" t="s">
        <v>73</v>
      </c>
      <c r="E17" s="6" t="s">
        <v>68</v>
      </c>
      <c r="F17" s="6" t="s">
        <v>141</v>
      </c>
      <c r="G17" s="7" t="s">
        <v>6</v>
      </c>
      <c r="H17" s="9">
        <v>7617</v>
      </c>
      <c r="I17" s="10">
        <v>45764</v>
      </c>
      <c r="J17" s="5">
        <v>10608</v>
      </c>
      <c r="K17" s="25">
        <f t="shared" si="0"/>
        <v>3.8125</v>
      </c>
      <c r="L17" s="29">
        <f t="shared" si="1"/>
        <v>45925.573770491806</v>
      </c>
      <c r="M17" s="48" t="s">
        <v>98</v>
      </c>
    </row>
    <row r="18" spans="1:13" ht="15.75" x14ac:dyDescent="0.25">
      <c r="A18" s="11">
        <v>45861</v>
      </c>
      <c r="B18" s="3">
        <v>7897</v>
      </c>
      <c r="C18" s="3">
        <v>233</v>
      </c>
      <c r="D18" s="3" t="s">
        <v>73</v>
      </c>
      <c r="E18" s="3" t="s">
        <v>58</v>
      </c>
      <c r="F18" s="3" t="s">
        <v>59</v>
      </c>
      <c r="G18" s="4" t="s">
        <v>6</v>
      </c>
      <c r="H18" s="39" t="s">
        <v>90</v>
      </c>
      <c r="I18" s="40" t="s">
        <v>90</v>
      </c>
      <c r="J18" s="41" t="s">
        <v>90</v>
      </c>
      <c r="K18" s="26" t="e">
        <f t="shared" si="0"/>
        <v>#VALUE!</v>
      </c>
      <c r="L18" s="29" t="e">
        <f t="shared" si="1"/>
        <v>#VALUE!</v>
      </c>
      <c r="M18" s="48"/>
    </row>
    <row r="19" spans="1:13" ht="15.75" x14ac:dyDescent="0.25">
      <c r="A19" s="8">
        <v>45862</v>
      </c>
      <c r="B19" s="6">
        <v>7898</v>
      </c>
      <c r="C19" s="6" t="s">
        <v>90</v>
      </c>
      <c r="D19" s="6" t="s">
        <v>56</v>
      </c>
      <c r="E19" s="6" t="s">
        <v>200</v>
      </c>
      <c r="F19" s="6" t="s">
        <v>201</v>
      </c>
      <c r="G19" s="7" t="s">
        <v>6</v>
      </c>
      <c r="H19" s="9" t="s">
        <v>90</v>
      </c>
      <c r="I19" s="10" t="s">
        <v>90</v>
      </c>
      <c r="J19" s="5" t="s">
        <v>90</v>
      </c>
      <c r="K19" s="25" t="e">
        <f t="shared" si="0"/>
        <v>#VALUE!</v>
      </c>
      <c r="L19" s="29" t="e">
        <f t="shared" si="1"/>
        <v>#VALUE!</v>
      </c>
      <c r="M19" s="48" t="s">
        <v>98</v>
      </c>
    </row>
    <row r="20" spans="1:13" ht="15.75" x14ac:dyDescent="0.25">
      <c r="A20" s="11">
        <v>45862</v>
      </c>
      <c r="B20" s="3">
        <v>7899</v>
      </c>
      <c r="C20" s="3">
        <v>1240</v>
      </c>
      <c r="D20" s="3" t="s">
        <v>73</v>
      </c>
      <c r="E20" s="3" t="s">
        <v>74</v>
      </c>
      <c r="F20" s="3" t="s">
        <v>202</v>
      </c>
      <c r="G20" s="4" t="s">
        <v>6</v>
      </c>
      <c r="H20" s="12">
        <v>7043</v>
      </c>
      <c r="I20" s="13">
        <v>45595</v>
      </c>
      <c r="J20" s="14">
        <v>1005</v>
      </c>
      <c r="K20" s="26">
        <f t="shared" si="0"/>
        <v>0.88014981273408244</v>
      </c>
      <c r="L20" s="29">
        <f t="shared" si="1"/>
        <v>46146.042553191488</v>
      </c>
      <c r="M20" s="48" t="s">
        <v>98</v>
      </c>
    </row>
    <row r="21" spans="1:13" ht="15.75" x14ac:dyDescent="0.25">
      <c r="A21" s="8">
        <v>45862</v>
      </c>
      <c r="B21" s="6">
        <v>7904</v>
      </c>
      <c r="C21" s="6">
        <v>479</v>
      </c>
      <c r="D21" s="6" t="s">
        <v>53</v>
      </c>
      <c r="E21" s="6" t="s">
        <v>35</v>
      </c>
      <c r="F21" s="6" t="s">
        <v>203</v>
      </c>
      <c r="G21" s="7" t="s">
        <v>6</v>
      </c>
      <c r="H21" s="9">
        <v>6943</v>
      </c>
      <c r="I21" s="10">
        <v>45561</v>
      </c>
      <c r="J21" s="5">
        <v>187</v>
      </c>
      <c r="K21" s="25">
        <f t="shared" si="0"/>
        <v>0.9700996677740864</v>
      </c>
      <c r="L21" s="29">
        <f t="shared" si="1"/>
        <v>46119.705479452052</v>
      </c>
      <c r="M21" s="48" t="s">
        <v>98</v>
      </c>
    </row>
    <row r="22" spans="1:13" ht="15.75" x14ac:dyDescent="0.25">
      <c r="A22" s="11">
        <v>45863</v>
      </c>
      <c r="B22" s="3">
        <v>7907</v>
      </c>
      <c r="C22" s="3">
        <v>2894</v>
      </c>
      <c r="D22" s="3" t="s">
        <v>50</v>
      </c>
      <c r="E22" s="3" t="s">
        <v>85</v>
      </c>
      <c r="F22" s="3" t="s">
        <v>86</v>
      </c>
      <c r="G22" s="4" t="s">
        <v>6</v>
      </c>
      <c r="H22" s="12">
        <v>7420</v>
      </c>
      <c r="I22" s="13">
        <v>45713</v>
      </c>
      <c r="J22" s="14">
        <v>2620</v>
      </c>
      <c r="K22" s="26">
        <f t="shared" si="0"/>
        <v>1.8266666666666667</v>
      </c>
      <c r="L22" s="29">
        <f>+A22+(250/K22)</f>
        <v>45999.861313868612</v>
      </c>
      <c r="M22" s="48" t="s">
        <v>98</v>
      </c>
    </row>
    <row r="23" spans="1:13" ht="15.75" x14ac:dyDescent="0.25">
      <c r="A23" s="8">
        <v>45863</v>
      </c>
      <c r="B23" s="6">
        <v>7908</v>
      </c>
      <c r="C23" s="6">
        <v>8970</v>
      </c>
      <c r="D23" s="6" t="s">
        <v>73</v>
      </c>
      <c r="E23" s="6" t="s">
        <v>85</v>
      </c>
      <c r="F23" s="6" t="s">
        <v>204</v>
      </c>
      <c r="G23" s="7" t="s">
        <v>6</v>
      </c>
      <c r="H23" s="9">
        <v>7441</v>
      </c>
      <c r="I23" s="10">
        <v>45721</v>
      </c>
      <c r="J23" s="5">
        <v>8591</v>
      </c>
      <c r="K23" s="25">
        <f t="shared" si="0"/>
        <v>2.6690140845070425</v>
      </c>
      <c r="L23" s="29">
        <f t="shared" si="1"/>
        <v>45956.66754617414</v>
      </c>
      <c r="M23" s="48" t="s">
        <v>98</v>
      </c>
    </row>
    <row r="24" spans="1:13" ht="15.75" x14ac:dyDescent="0.25">
      <c r="A24" s="11">
        <v>45867</v>
      </c>
      <c r="B24" s="3">
        <v>7911</v>
      </c>
      <c r="C24" s="3">
        <v>125</v>
      </c>
      <c r="D24" s="3" t="s">
        <v>24</v>
      </c>
      <c r="E24" s="3" t="s">
        <v>205</v>
      </c>
      <c r="F24" s="3" t="s">
        <v>206</v>
      </c>
      <c r="G24" s="4" t="s">
        <v>6</v>
      </c>
      <c r="H24" s="12">
        <v>7738</v>
      </c>
      <c r="I24" s="13">
        <v>45803</v>
      </c>
      <c r="J24" s="14">
        <v>5</v>
      </c>
      <c r="K24" s="26">
        <f t="shared" si="0"/>
        <v>1.875</v>
      </c>
      <c r="L24" s="73">
        <f>+A24+(125/K24)</f>
        <v>45933.666666666664</v>
      </c>
      <c r="M24" s="48" t="s">
        <v>98</v>
      </c>
    </row>
    <row r="25" spans="1:13" ht="15.75" x14ac:dyDescent="0.25">
      <c r="A25" s="8">
        <v>45868</v>
      </c>
      <c r="B25" s="6">
        <v>7912</v>
      </c>
      <c r="C25" s="6">
        <v>5828</v>
      </c>
      <c r="D25" s="6" t="s">
        <v>50</v>
      </c>
      <c r="E25" s="6" t="s">
        <v>7</v>
      </c>
      <c r="F25" s="6" t="s">
        <v>8</v>
      </c>
      <c r="G25" s="7" t="s">
        <v>6</v>
      </c>
      <c r="H25" s="9">
        <v>7309</v>
      </c>
      <c r="I25" s="10">
        <v>45680</v>
      </c>
      <c r="J25" s="5">
        <v>5538</v>
      </c>
      <c r="K25" s="25">
        <f t="shared" si="0"/>
        <v>1.5425531914893618</v>
      </c>
      <c r="L25" s="29">
        <f>+A25+(146/K25)</f>
        <v>45962.64827586207</v>
      </c>
      <c r="M25" s="48" t="s">
        <v>98</v>
      </c>
    </row>
    <row r="26" spans="1:13" ht="15.75" x14ac:dyDescent="0.25">
      <c r="A26" s="11">
        <v>45868</v>
      </c>
      <c r="B26" s="3">
        <v>7913</v>
      </c>
      <c r="C26" s="3">
        <v>861</v>
      </c>
      <c r="D26" s="3" t="s">
        <v>50</v>
      </c>
      <c r="E26" s="3" t="s">
        <v>7</v>
      </c>
      <c r="F26" s="3" t="s">
        <v>46</v>
      </c>
      <c r="G26" s="4" t="s">
        <v>6</v>
      </c>
      <c r="H26" s="12">
        <v>7305</v>
      </c>
      <c r="I26" s="13">
        <v>45679</v>
      </c>
      <c r="J26" s="14">
        <v>174</v>
      </c>
      <c r="K26" s="26">
        <f t="shared" si="0"/>
        <v>3.6349206349206349</v>
      </c>
      <c r="L26" s="29">
        <f>+A26+(250/K26)</f>
        <v>45936.777292576422</v>
      </c>
      <c r="M26" s="48" t="s">
        <v>98</v>
      </c>
    </row>
    <row r="27" spans="1:13" ht="15.75" x14ac:dyDescent="0.25">
      <c r="A27" s="8">
        <v>45868</v>
      </c>
      <c r="B27" s="6">
        <v>7914</v>
      </c>
      <c r="C27" s="6" t="s">
        <v>90</v>
      </c>
      <c r="D27" s="6" t="s">
        <v>73</v>
      </c>
      <c r="E27" s="6" t="s">
        <v>207</v>
      </c>
      <c r="F27" s="6" t="s">
        <v>208</v>
      </c>
      <c r="G27" s="7" t="s">
        <v>6</v>
      </c>
      <c r="H27" s="9" t="s">
        <v>90</v>
      </c>
      <c r="I27" s="10" t="s">
        <v>90</v>
      </c>
      <c r="J27" s="5" t="s">
        <v>90</v>
      </c>
      <c r="K27" s="25" t="e">
        <f t="shared" si="0"/>
        <v>#VALUE!</v>
      </c>
      <c r="L27" s="29" t="e">
        <f>+A27+(1000/K27)</f>
        <v>#VALUE!</v>
      </c>
      <c r="M27" s="48"/>
    </row>
    <row r="28" spans="1:13" ht="15.75" x14ac:dyDescent="0.25">
      <c r="A28" s="11"/>
      <c r="B28" s="3"/>
      <c r="C28" s="3"/>
      <c r="D28" s="3"/>
      <c r="E28" s="3"/>
      <c r="F28" s="3"/>
      <c r="G28" s="4"/>
      <c r="H28" s="12"/>
      <c r="I28" s="13"/>
      <c r="J28" s="14"/>
      <c r="K28" s="26" t="e">
        <f t="shared" si="0"/>
        <v>#DIV/0!</v>
      </c>
      <c r="L28" s="29" t="e">
        <f>+A28+(250/K28)</f>
        <v>#DIV/0!</v>
      </c>
    </row>
    <row r="29" spans="1:13" ht="15.75" x14ac:dyDescent="0.25">
      <c r="A29" s="8"/>
      <c r="B29" s="6"/>
      <c r="C29" s="6"/>
      <c r="D29" s="6"/>
      <c r="E29" s="6"/>
      <c r="F29" s="6"/>
      <c r="G29" s="7"/>
      <c r="H29" s="9"/>
      <c r="I29" s="10"/>
      <c r="J29" s="5"/>
      <c r="K29" s="25" t="e">
        <f t="shared" si="0"/>
        <v>#DIV/0!</v>
      </c>
      <c r="L29" s="29" t="e">
        <f>+A29+(113/K29)</f>
        <v>#DIV/0!</v>
      </c>
      <c r="M29" s="48"/>
    </row>
  </sheetData>
  <autoFilter ref="A2:M29"/>
  <mergeCells count="3">
    <mergeCell ref="A1:G1"/>
    <mergeCell ref="H1:K1"/>
    <mergeCell ref="O3:U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85" zoomScaleNormal="85" workbookViewId="0">
      <selection activeCell="M21" sqref="M21"/>
    </sheetView>
  </sheetViews>
  <sheetFormatPr baseColWidth="10" defaultRowHeight="15" x14ac:dyDescent="0.25"/>
  <cols>
    <col min="2" max="2" width="9.42578125" bestFit="1" customWidth="1"/>
    <col min="3" max="3" width="6.85546875" bestFit="1" customWidth="1"/>
    <col min="4" max="4" width="12.5703125" bestFit="1" customWidth="1"/>
    <col min="5" max="5" width="42.42578125" bestFit="1" customWidth="1"/>
    <col min="6" max="6" width="23.140625" bestFit="1" customWidth="1"/>
    <col min="9" max="9" width="12" customWidth="1"/>
    <col min="10" max="10" width="6.28515625" bestFit="1" customWidth="1"/>
    <col min="12" max="12" width="19.85546875" customWidth="1"/>
  </cols>
  <sheetData>
    <row r="1" spans="1:13" ht="15.75" thickBot="1" x14ac:dyDescent="0.3"/>
    <row r="2" spans="1:13" ht="19.5" thickBot="1" x14ac:dyDescent="0.35">
      <c r="A2" s="75" t="s">
        <v>16</v>
      </c>
      <c r="B2" s="76"/>
      <c r="C2" s="76"/>
      <c r="D2" s="76"/>
      <c r="E2" s="76"/>
      <c r="F2" s="76"/>
      <c r="G2" s="77"/>
      <c r="H2" s="78" t="s">
        <v>17</v>
      </c>
      <c r="I2" s="79"/>
      <c r="J2" s="79"/>
      <c r="K2" s="80"/>
      <c r="L2" s="28" t="s">
        <v>18</v>
      </c>
    </row>
    <row r="3" spans="1:13" ht="45" x14ac:dyDescent="0.25">
      <c r="A3" s="31" t="s">
        <v>1</v>
      </c>
      <c r="B3" s="32" t="s">
        <v>0</v>
      </c>
      <c r="C3" s="32" t="s">
        <v>10</v>
      </c>
      <c r="D3" s="49" t="s">
        <v>22</v>
      </c>
      <c r="E3" s="32" t="s">
        <v>2</v>
      </c>
      <c r="F3" s="32" t="s">
        <v>4</v>
      </c>
      <c r="G3" s="33" t="s">
        <v>3</v>
      </c>
      <c r="H3" s="34" t="s">
        <v>19</v>
      </c>
      <c r="I3" s="35" t="s">
        <v>14</v>
      </c>
      <c r="J3" s="36" t="s">
        <v>11</v>
      </c>
      <c r="K3" s="37" t="s">
        <v>12</v>
      </c>
      <c r="L3" s="38" t="s">
        <v>13</v>
      </c>
    </row>
    <row r="4" spans="1:13" ht="15.75" x14ac:dyDescent="0.25">
      <c r="A4" s="8">
        <v>45875</v>
      </c>
      <c r="B4" s="6">
        <v>7946</v>
      </c>
      <c r="C4" s="6">
        <v>176</v>
      </c>
      <c r="D4" s="6" t="s">
        <v>24</v>
      </c>
      <c r="E4" s="6" t="s">
        <v>215</v>
      </c>
      <c r="F4" s="6" t="s">
        <v>216</v>
      </c>
      <c r="G4" s="7" t="s">
        <v>5</v>
      </c>
      <c r="H4" s="15"/>
      <c r="I4" s="22"/>
      <c r="J4" s="23"/>
      <c r="K4" s="25">
        <f t="shared" ref="K4:K25" si="0">+(C4-J4)/(A4-I4)</f>
        <v>3.8365122615803813E-3</v>
      </c>
      <c r="L4" s="29">
        <f t="shared" ref="L4:L33" si="1">+A4+(250/K4)</f>
        <v>111038.35227272726</v>
      </c>
      <c r="M4" t="s">
        <v>288</v>
      </c>
    </row>
    <row r="5" spans="1:13" ht="15.75" x14ac:dyDescent="0.25">
      <c r="A5" s="11">
        <v>45876</v>
      </c>
      <c r="B5" s="3">
        <v>7958</v>
      </c>
      <c r="C5" s="3">
        <v>5629</v>
      </c>
      <c r="D5" s="3" t="s">
        <v>56</v>
      </c>
      <c r="E5" s="3" t="s">
        <v>51</v>
      </c>
      <c r="F5" s="3" t="s">
        <v>52</v>
      </c>
      <c r="G5" s="4" t="s">
        <v>6</v>
      </c>
      <c r="H5" s="12"/>
      <c r="I5" s="13"/>
      <c r="J5" s="14"/>
      <c r="K5" s="26">
        <f t="shared" si="0"/>
        <v>0.12270032260877146</v>
      </c>
      <c r="L5" s="29">
        <f t="shared" si="1"/>
        <v>47913.484455498314</v>
      </c>
      <c r="M5" s="48" t="s">
        <v>289</v>
      </c>
    </row>
    <row r="6" spans="1:13" ht="15.75" x14ac:dyDescent="0.25">
      <c r="A6" s="11">
        <v>45876</v>
      </c>
      <c r="B6" s="6">
        <v>7959</v>
      </c>
      <c r="C6" s="6">
        <v>8261</v>
      </c>
      <c r="D6" s="6" t="s">
        <v>56</v>
      </c>
      <c r="E6" s="6" t="s">
        <v>51</v>
      </c>
      <c r="F6" s="6" t="s">
        <v>55</v>
      </c>
      <c r="G6" s="7" t="s">
        <v>6</v>
      </c>
      <c r="H6" s="15"/>
      <c r="I6" s="22"/>
      <c r="J6" s="23"/>
      <c r="K6" s="25">
        <f t="shared" si="0"/>
        <v>0.18007236899468132</v>
      </c>
      <c r="L6" s="29">
        <f t="shared" si="1"/>
        <v>47264.33071056773</v>
      </c>
      <c r="M6" s="48" t="s">
        <v>289</v>
      </c>
    </row>
    <row r="7" spans="1:13" ht="15.75" x14ac:dyDescent="0.25">
      <c r="A7" s="11">
        <v>45877</v>
      </c>
      <c r="B7" s="3">
        <v>7960</v>
      </c>
      <c r="C7" s="3">
        <v>10529</v>
      </c>
      <c r="D7" s="3" t="s">
        <v>56</v>
      </c>
      <c r="E7" s="3" t="s">
        <v>51</v>
      </c>
      <c r="F7" s="3" t="s">
        <v>99</v>
      </c>
      <c r="G7" s="4" t="s">
        <v>6</v>
      </c>
      <c r="H7" s="12"/>
      <c r="I7" s="13"/>
      <c r="J7" s="14"/>
      <c r="K7" s="26">
        <f t="shared" si="0"/>
        <v>0.22950498070928788</v>
      </c>
      <c r="L7" s="29">
        <f t="shared" si="1"/>
        <v>46966.300978250547</v>
      </c>
      <c r="M7" s="48"/>
    </row>
    <row r="8" spans="1:13" ht="15.75" x14ac:dyDescent="0.25">
      <c r="A8" s="8">
        <v>45877</v>
      </c>
      <c r="B8" s="6">
        <v>7961</v>
      </c>
      <c r="C8" s="42">
        <v>6346</v>
      </c>
      <c r="D8" s="42" t="s">
        <v>50</v>
      </c>
      <c r="E8" s="6" t="s">
        <v>51</v>
      </c>
      <c r="F8" s="6" t="s">
        <v>138</v>
      </c>
      <c r="G8" s="7" t="s">
        <v>6</v>
      </c>
      <c r="H8" s="9"/>
      <c r="I8" s="10"/>
      <c r="J8" s="43"/>
      <c r="K8" s="25">
        <f t="shared" si="0"/>
        <v>0.13832639448961354</v>
      </c>
      <c r="L8" s="29">
        <f t="shared" si="1"/>
        <v>47684.319571383552</v>
      </c>
      <c r="M8" s="48"/>
    </row>
    <row r="9" spans="1:13" ht="15.75" x14ac:dyDescent="0.25">
      <c r="A9" s="11">
        <v>45883</v>
      </c>
      <c r="B9" s="3">
        <v>7982</v>
      </c>
      <c r="C9" s="44">
        <v>3265</v>
      </c>
      <c r="D9" s="44" t="s">
        <v>73</v>
      </c>
      <c r="E9" s="3" t="s">
        <v>79</v>
      </c>
      <c r="F9" s="3" t="s">
        <v>217</v>
      </c>
      <c r="G9" s="4" t="s">
        <v>6</v>
      </c>
      <c r="H9" s="39">
        <v>6996</v>
      </c>
      <c r="I9" s="40">
        <v>45582</v>
      </c>
      <c r="J9" s="41">
        <v>2999</v>
      </c>
      <c r="K9" s="26">
        <f t="shared" si="0"/>
        <v>0.88372093023255816</v>
      </c>
      <c r="L9" s="29">
        <f t="shared" si="1"/>
        <v>46165.894736842107</v>
      </c>
      <c r="M9" s="48" t="s">
        <v>290</v>
      </c>
    </row>
    <row r="10" spans="1:13" ht="15.75" x14ac:dyDescent="0.25">
      <c r="A10" s="8">
        <v>45883</v>
      </c>
      <c r="B10" s="6">
        <v>7983</v>
      </c>
      <c r="C10" s="6">
        <v>7773</v>
      </c>
      <c r="D10" s="6" t="s">
        <v>53</v>
      </c>
      <c r="E10" s="6" t="s">
        <v>71</v>
      </c>
      <c r="F10" s="6" t="s">
        <v>72</v>
      </c>
      <c r="G10" s="7" t="s">
        <v>5</v>
      </c>
      <c r="H10" s="64"/>
      <c r="I10" s="22"/>
      <c r="J10" s="23"/>
      <c r="K10" s="25">
        <f t="shared" si="0"/>
        <v>0.16940914935815007</v>
      </c>
      <c r="L10" s="29">
        <f t="shared" si="1"/>
        <v>47358.717226296154</v>
      </c>
      <c r="M10" s="48"/>
    </row>
    <row r="11" spans="1:13" ht="15.75" x14ac:dyDescent="0.25">
      <c r="A11" s="11">
        <v>45889</v>
      </c>
      <c r="B11" s="3">
        <v>7999</v>
      </c>
      <c r="C11" s="44" t="s">
        <v>90</v>
      </c>
      <c r="D11" s="44" t="s">
        <v>218</v>
      </c>
      <c r="E11" s="3" t="s">
        <v>220</v>
      </c>
      <c r="F11" s="3" t="s">
        <v>219</v>
      </c>
      <c r="G11" s="4" t="s">
        <v>6</v>
      </c>
      <c r="H11" s="39"/>
      <c r="I11" s="40"/>
      <c r="J11" s="41"/>
      <c r="K11" s="26" t="e">
        <f t="shared" si="0"/>
        <v>#VALUE!</v>
      </c>
      <c r="L11" s="29" t="e">
        <f t="shared" si="1"/>
        <v>#VALUE!</v>
      </c>
      <c r="M11" s="74">
        <v>46023</v>
      </c>
    </row>
    <row r="12" spans="1:13" ht="15.75" x14ac:dyDescent="0.25">
      <c r="A12" s="8">
        <v>45889</v>
      </c>
      <c r="B12" s="6">
        <v>8000</v>
      </c>
      <c r="C12" s="45">
        <v>52</v>
      </c>
      <c r="D12" s="45" t="s">
        <v>24</v>
      </c>
      <c r="E12" s="6" t="s">
        <v>220</v>
      </c>
      <c r="F12" s="6" t="s">
        <v>221</v>
      </c>
      <c r="G12" s="7" t="s">
        <v>6</v>
      </c>
      <c r="H12" s="15">
        <v>7540</v>
      </c>
      <c r="I12" s="22">
        <v>45744</v>
      </c>
      <c r="J12" s="23">
        <v>10</v>
      </c>
      <c r="K12" s="25">
        <f t="shared" si="0"/>
        <v>0.28965517241379313</v>
      </c>
      <c r="L12" s="29">
        <f>+A12+(150/K12)</f>
        <v>46406.857142857145</v>
      </c>
      <c r="M12" s="74">
        <v>46143</v>
      </c>
    </row>
    <row r="13" spans="1:13" ht="15.75" x14ac:dyDescent="0.25">
      <c r="A13" s="11">
        <v>45889</v>
      </c>
      <c r="B13" s="3">
        <v>8001</v>
      </c>
      <c r="C13" s="3" t="s">
        <v>90</v>
      </c>
      <c r="D13" s="3" t="s">
        <v>218</v>
      </c>
      <c r="E13" s="3" t="s">
        <v>220</v>
      </c>
      <c r="F13" s="3" t="s">
        <v>222</v>
      </c>
      <c r="G13" s="4" t="s">
        <v>6</v>
      </c>
      <c r="H13" s="39"/>
      <c r="I13" s="40"/>
      <c r="J13" s="41"/>
      <c r="K13" s="26" t="e">
        <f t="shared" si="0"/>
        <v>#VALUE!</v>
      </c>
      <c r="L13" s="29" t="e">
        <f t="shared" si="1"/>
        <v>#VALUE!</v>
      </c>
      <c r="M13" s="74">
        <v>46023</v>
      </c>
    </row>
    <row r="14" spans="1:13" ht="15.75" x14ac:dyDescent="0.25">
      <c r="A14" s="8">
        <v>45889</v>
      </c>
      <c r="B14" s="6">
        <v>8002</v>
      </c>
      <c r="C14" s="6">
        <v>1134</v>
      </c>
      <c r="D14" s="6" t="s">
        <v>56</v>
      </c>
      <c r="E14" s="6" t="s">
        <v>146</v>
      </c>
      <c r="F14" s="6" t="s">
        <v>147</v>
      </c>
      <c r="G14" s="7" t="s">
        <v>6</v>
      </c>
      <c r="H14" s="9"/>
      <c r="I14" s="10"/>
      <c r="J14" s="5"/>
      <c r="K14" s="25">
        <f t="shared" si="0"/>
        <v>2.4711804571901762E-2</v>
      </c>
      <c r="L14" s="29">
        <f t="shared" si="1"/>
        <v>56005.622574955909</v>
      </c>
      <c r="M14" s="48"/>
    </row>
    <row r="15" spans="1:13" ht="15.75" x14ac:dyDescent="0.25">
      <c r="A15" s="11">
        <v>45889</v>
      </c>
      <c r="B15" s="3">
        <v>8003</v>
      </c>
      <c r="C15" s="44">
        <v>2487</v>
      </c>
      <c r="D15" s="44" t="s">
        <v>50</v>
      </c>
      <c r="E15" s="3" t="s">
        <v>223</v>
      </c>
      <c r="F15" s="3" t="s">
        <v>224</v>
      </c>
      <c r="G15" s="4" t="s">
        <v>6</v>
      </c>
      <c r="H15" s="39">
        <v>6783</v>
      </c>
      <c r="I15" s="40">
        <v>45521</v>
      </c>
      <c r="J15" s="41">
        <v>1640</v>
      </c>
      <c r="K15" s="26">
        <f t="shared" si="0"/>
        <v>2.3016304347826089</v>
      </c>
      <c r="L15" s="29">
        <f t="shared" si="1"/>
        <v>45997.618654073201</v>
      </c>
      <c r="M15" s="48" t="s">
        <v>291</v>
      </c>
    </row>
    <row r="16" spans="1:13" ht="15.75" x14ac:dyDescent="0.25">
      <c r="A16" s="8">
        <v>45891</v>
      </c>
      <c r="B16" s="6">
        <v>8005</v>
      </c>
      <c r="C16" s="6">
        <v>3051</v>
      </c>
      <c r="D16" s="6" t="s">
        <v>56</v>
      </c>
      <c r="E16" s="6" t="s">
        <v>225</v>
      </c>
      <c r="F16" s="6" t="s">
        <v>226</v>
      </c>
      <c r="G16" s="7" t="s">
        <v>6</v>
      </c>
      <c r="H16" s="9"/>
      <c r="I16" s="10"/>
      <c r="J16" s="5"/>
      <c r="K16" s="25">
        <f t="shared" si="0"/>
        <v>6.6483624240047071E-2</v>
      </c>
      <c r="L16" s="29">
        <f>+A16+(250/K16)</f>
        <v>49651.32448377581</v>
      </c>
      <c r="M16" s="48" t="s">
        <v>292</v>
      </c>
    </row>
    <row r="17" spans="1:15" ht="15.75" x14ac:dyDescent="0.25">
      <c r="A17" s="11">
        <v>45894</v>
      </c>
      <c r="B17" s="3">
        <v>8006</v>
      </c>
      <c r="C17" s="3">
        <v>246</v>
      </c>
      <c r="D17" s="3" t="s">
        <v>73</v>
      </c>
      <c r="E17" s="3" t="s">
        <v>58</v>
      </c>
      <c r="F17" s="3" t="s">
        <v>59</v>
      </c>
      <c r="G17" s="4" t="s">
        <v>6</v>
      </c>
      <c r="H17" s="12"/>
      <c r="I17" s="13"/>
      <c r="J17" s="14"/>
      <c r="K17" s="26">
        <f t="shared" si="0"/>
        <v>5.3601778010197408E-3</v>
      </c>
      <c r="L17" s="29">
        <f t="shared" si="1"/>
        <v>92534.243902439019</v>
      </c>
      <c r="M17" s="48"/>
    </row>
    <row r="18" spans="1:15" ht="15.75" x14ac:dyDescent="0.25">
      <c r="A18" s="8">
        <v>45894</v>
      </c>
      <c r="B18" s="6">
        <v>8007</v>
      </c>
      <c r="C18" s="6">
        <v>12811</v>
      </c>
      <c r="D18" s="6" t="s">
        <v>50</v>
      </c>
      <c r="E18" s="6" t="s">
        <v>62</v>
      </c>
      <c r="F18" s="6" t="s">
        <v>80</v>
      </c>
      <c r="G18" s="7" t="s">
        <v>5</v>
      </c>
      <c r="H18" s="9"/>
      <c r="I18" s="10"/>
      <c r="J18" s="5"/>
      <c r="K18" s="25">
        <f t="shared" si="0"/>
        <v>0.27914324312546301</v>
      </c>
      <c r="L18" s="29">
        <f t="shared" si="1"/>
        <v>46789.597533369757</v>
      </c>
      <c r="M18" s="48"/>
    </row>
    <row r="19" spans="1:15" ht="15.75" x14ac:dyDescent="0.25">
      <c r="A19" s="11">
        <v>45895</v>
      </c>
      <c r="B19" s="3">
        <v>8009</v>
      </c>
      <c r="C19" s="3">
        <v>300</v>
      </c>
      <c r="D19" s="3" t="s">
        <v>73</v>
      </c>
      <c r="E19" s="3" t="s">
        <v>150</v>
      </c>
      <c r="F19" s="3" t="s">
        <v>227</v>
      </c>
      <c r="G19" s="4" t="s">
        <v>6</v>
      </c>
      <c r="H19" s="67">
        <v>7174</v>
      </c>
      <c r="I19" s="40">
        <v>45630</v>
      </c>
      <c r="J19" s="41">
        <v>120</v>
      </c>
      <c r="K19" s="26">
        <f t="shared" si="0"/>
        <v>0.67924528301886788</v>
      </c>
      <c r="L19" s="29">
        <f t="shared" si="1"/>
        <v>46263.055555555555</v>
      </c>
      <c r="M19" s="48" t="s">
        <v>98</v>
      </c>
    </row>
    <row r="20" spans="1:15" ht="15.75" x14ac:dyDescent="0.25">
      <c r="A20" s="8">
        <v>45890</v>
      </c>
      <c r="B20" s="6">
        <v>8010</v>
      </c>
      <c r="C20" s="6">
        <v>1477</v>
      </c>
      <c r="D20" s="6" t="s">
        <v>73</v>
      </c>
      <c r="E20" s="6" t="s">
        <v>29</v>
      </c>
      <c r="F20" s="6" t="s">
        <v>30</v>
      </c>
      <c r="G20" s="7" t="s">
        <v>6</v>
      </c>
      <c r="H20" s="9">
        <v>7693</v>
      </c>
      <c r="I20" s="10">
        <v>45790</v>
      </c>
      <c r="J20" s="5">
        <v>1204</v>
      </c>
      <c r="K20" s="25">
        <f t="shared" si="0"/>
        <v>2.73</v>
      </c>
      <c r="L20" s="29">
        <f t="shared" si="1"/>
        <v>45981.57509157509</v>
      </c>
      <c r="M20" s="48" t="s">
        <v>90</v>
      </c>
    </row>
    <row r="21" spans="1:15" ht="15.75" x14ac:dyDescent="0.25">
      <c r="A21" s="11"/>
      <c r="B21" s="3"/>
      <c r="C21" s="3"/>
      <c r="D21" s="3"/>
      <c r="E21" s="3"/>
      <c r="F21" s="3"/>
      <c r="G21" s="4"/>
      <c r="H21" s="12"/>
      <c r="I21" s="13"/>
      <c r="J21" s="14"/>
      <c r="K21" s="26" t="e">
        <f t="shared" si="0"/>
        <v>#DIV/0!</v>
      </c>
      <c r="L21" s="29" t="e">
        <f t="shared" si="1"/>
        <v>#DIV/0!</v>
      </c>
      <c r="M21" s="48"/>
    </row>
    <row r="22" spans="1:15" ht="15.75" x14ac:dyDescent="0.25">
      <c r="A22" s="8"/>
      <c r="B22" s="6"/>
      <c r="C22" s="6"/>
      <c r="D22" s="6"/>
      <c r="E22" s="6"/>
      <c r="F22" s="6"/>
      <c r="G22" s="7"/>
      <c r="H22" s="9"/>
      <c r="I22" s="10"/>
      <c r="J22" s="5"/>
      <c r="K22" s="25" t="e">
        <f t="shared" si="0"/>
        <v>#DIV/0!</v>
      </c>
      <c r="L22" s="29" t="e">
        <f t="shared" si="1"/>
        <v>#DIV/0!</v>
      </c>
      <c r="M22" s="48"/>
    </row>
    <row r="23" spans="1:15" ht="15.75" x14ac:dyDescent="0.25">
      <c r="A23" s="11"/>
      <c r="B23" s="3"/>
      <c r="C23" s="3"/>
      <c r="D23" s="3"/>
      <c r="E23" s="3"/>
      <c r="F23" s="3"/>
      <c r="G23" s="4"/>
      <c r="H23" s="12"/>
      <c r="I23" s="13"/>
      <c r="J23" s="14"/>
      <c r="K23" s="26" t="e">
        <f t="shared" si="0"/>
        <v>#DIV/0!</v>
      </c>
      <c r="L23" s="29" t="e">
        <f>+A23+(250/K23)</f>
        <v>#DIV/0!</v>
      </c>
      <c r="M23" s="48"/>
    </row>
    <row r="24" spans="1:15" ht="15.75" x14ac:dyDescent="0.25">
      <c r="A24" s="8"/>
      <c r="B24" s="6"/>
      <c r="C24" s="6"/>
      <c r="D24" s="6"/>
      <c r="E24" s="6"/>
      <c r="F24" s="6"/>
      <c r="G24" s="7"/>
      <c r="H24" s="9"/>
      <c r="I24" s="10"/>
      <c r="J24" s="5"/>
      <c r="K24" s="25" t="e">
        <f t="shared" si="0"/>
        <v>#DIV/0!</v>
      </c>
      <c r="L24" s="29" t="e">
        <f t="shared" si="1"/>
        <v>#DIV/0!</v>
      </c>
      <c r="M24" s="48"/>
    </row>
    <row r="25" spans="1:15" ht="15.75" x14ac:dyDescent="0.25">
      <c r="A25" s="11"/>
      <c r="B25" s="3"/>
      <c r="C25" s="3"/>
      <c r="D25" s="3"/>
      <c r="E25" s="3"/>
      <c r="F25" s="3"/>
      <c r="G25" s="4"/>
      <c r="H25" s="12"/>
      <c r="I25" s="13"/>
      <c r="J25" s="14"/>
      <c r="K25" s="26" t="e">
        <f t="shared" si="0"/>
        <v>#DIV/0!</v>
      </c>
      <c r="L25" s="29" t="e">
        <f t="shared" si="1"/>
        <v>#DIV/0!</v>
      </c>
      <c r="M25" s="48"/>
    </row>
    <row r="26" spans="1:15" ht="15.75" x14ac:dyDescent="0.25">
      <c r="A26" s="8"/>
      <c r="B26" s="6"/>
      <c r="C26" s="45"/>
      <c r="D26" s="45"/>
      <c r="E26" s="6"/>
      <c r="F26" s="6"/>
      <c r="G26" s="7"/>
      <c r="H26" s="15"/>
      <c r="I26" s="22"/>
      <c r="J26" s="23"/>
      <c r="K26" s="26" t="e">
        <f t="shared" ref="K26:K33" si="2">+(C26-J26)/(A26-I26)</f>
        <v>#DIV/0!</v>
      </c>
      <c r="L26" s="29" t="e">
        <f t="shared" si="1"/>
        <v>#DIV/0!</v>
      </c>
      <c r="M26" s="48"/>
    </row>
    <row r="27" spans="1:15" ht="15.75" x14ac:dyDescent="0.25">
      <c r="A27" s="11"/>
      <c r="B27" s="3"/>
      <c r="C27" s="3"/>
      <c r="D27" s="3"/>
      <c r="E27" s="3"/>
      <c r="F27" s="3"/>
      <c r="G27" s="4"/>
      <c r="H27" s="12"/>
      <c r="I27" s="13"/>
      <c r="J27" s="14"/>
      <c r="K27" s="26" t="e">
        <f t="shared" si="2"/>
        <v>#DIV/0!</v>
      </c>
      <c r="L27" s="29" t="e">
        <f t="shared" si="1"/>
        <v>#DIV/0!</v>
      </c>
      <c r="M27" s="48"/>
    </row>
    <row r="28" spans="1:15" ht="15.75" x14ac:dyDescent="0.25">
      <c r="A28" s="8"/>
      <c r="B28" s="6"/>
      <c r="C28" s="6"/>
      <c r="D28" s="6"/>
      <c r="E28" s="6"/>
      <c r="F28" s="6"/>
      <c r="G28" s="7"/>
      <c r="H28" s="9"/>
      <c r="I28" s="10"/>
      <c r="J28" s="5"/>
      <c r="K28" s="26" t="e">
        <f t="shared" si="2"/>
        <v>#DIV/0!</v>
      </c>
      <c r="L28" s="29" t="e">
        <f t="shared" si="1"/>
        <v>#DIV/0!</v>
      </c>
      <c r="M28" s="48"/>
    </row>
    <row r="29" spans="1:15" ht="15.75" x14ac:dyDescent="0.25">
      <c r="A29" s="11"/>
      <c r="B29" s="3"/>
      <c r="C29" s="3"/>
      <c r="D29" s="3"/>
      <c r="E29" s="3"/>
      <c r="F29" s="3"/>
      <c r="G29" s="4"/>
      <c r="H29" s="12"/>
      <c r="I29" s="13"/>
      <c r="J29" s="14"/>
      <c r="K29" s="26" t="e">
        <f t="shared" si="2"/>
        <v>#DIV/0!</v>
      </c>
      <c r="L29" s="29" t="e">
        <f t="shared" si="1"/>
        <v>#DIV/0!</v>
      </c>
      <c r="M29" s="48"/>
      <c r="O29" s="46"/>
    </row>
    <row r="30" spans="1:15" ht="15.75" x14ac:dyDescent="0.25">
      <c r="A30" s="8"/>
      <c r="B30" s="6"/>
      <c r="C30" s="6"/>
      <c r="D30" s="6"/>
      <c r="E30" s="6"/>
      <c r="F30" s="6"/>
      <c r="G30" s="7"/>
      <c r="H30" s="9"/>
      <c r="I30" s="10"/>
      <c r="J30" s="5"/>
      <c r="K30" s="26" t="e">
        <f t="shared" si="2"/>
        <v>#DIV/0!</v>
      </c>
      <c r="L30" s="29" t="e">
        <f t="shared" si="1"/>
        <v>#DIV/0!</v>
      </c>
      <c r="M30" s="48"/>
    </row>
    <row r="31" spans="1:15" ht="15.75" x14ac:dyDescent="0.25">
      <c r="A31" s="11"/>
      <c r="B31" s="3"/>
      <c r="C31" s="3"/>
      <c r="D31" s="3"/>
      <c r="E31" s="3"/>
      <c r="F31" s="3"/>
      <c r="G31" s="4"/>
      <c r="H31" s="12"/>
      <c r="I31" s="13"/>
      <c r="J31" s="14"/>
      <c r="K31" s="26" t="e">
        <f t="shared" si="2"/>
        <v>#DIV/0!</v>
      </c>
      <c r="L31" s="29" t="e">
        <f t="shared" si="1"/>
        <v>#DIV/0!</v>
      </c>
      <c r="M31" s="48"/>
    </row>
    <row r="32" spans="1:15" ht="15.75" x14ac:dyDescent="0.25">
      <c r="A32" s="8"/>
      <c r="B32" s="6"/>
      <c r="C32" s="6"/>
      <c r="D32" s="6"/>
      <c r="E32" s="6"/>
      <c r="F32" s="6"/>
      <c r="G32" s="7"/>
      <c r="H32" s="9"/>
      <c r="I32" s="10"/>
      <c r="J32" s="5"/>
      <c r="K32" s="26" t="e">
        <f t="shared" si="2"/>
        <v>#DIV/0!</v>
      </c>
      <c r="L32" s="29" t="e">
        <f t="shared" si="1"/>
        <v>#DIV/0!</v>
      </c>
      <c r="M32" s="48"/>
    </row>
    <row r="33" spans="1:13" ht="15.75" x14ac:dyDescent="0.25">
      <c r="A33" s="11"/>
      <c r="B33" s="3"/>
      <c r="C33" s="3"/>
      <c r="D33" s="3"/>
      <c r="E33" s="3"/>
      <c r="F33" s="3"/>
      <c r="G33" s="4"/>
      <c r="H33" s="12"/>
      <c r="I33" s="13"/>
      <c r="J33" s="14"/>
      <c r="K33" s="26" t="e">
        <f t="shared" si="2"/>
        <v>#DIV/0!</v>
      </c>
      <c r="L33" s="29" t="e">
        <f t="shared" si="1"/>
        <v>#DIV/0!</v>
      </c>
      <c r="M33" s="48"/>
    </row>
  </sheetData>
  <autoFilter ref="A3:M33"/>
  <mergeCells count="2">
    <mergeCell ref="A2:G2"/>
    <mergeCell ref="H2:K2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5" zoomScaleNormal="85" workbookViewId="0">
      <selection activeCell="N19" sqref="N19"/>
    </sheetView>
  </sheetViews>
  <sheetFormatPr baseColWidth="10" defaultRowHeight="15" x14ac:dyDescent="0.25"/>
  <cols>
    <col min="2" max="2" width="9.28515625" bestFit="1" customWidth="1"/>
    <col min="3" max="4" width="9" customWidth="1"/>
    <col min="5" max="5" width="31.140625" customWidth="1"/>
    <col min="6" max="6" width="23.85546875" customWidth="1"/>
    <col min="7" max="7" width="9.42578125" customWidth="1"/>
    <col min="8" max="8" width="12.28515625" customWidth="1"/>
    <col min="9" max="9" width="10.42578125" customWidth="1"/>
    <col min="10" max="10" width="8" customWidth="1"/>
    <col min="11" max="11" width="9.42578125" customWidth="1"/>
    <col min="12" max="12" width="10" customWidth="1"/>
    <col min="13" max="13" width="20.85546875" customWidth="1"/>
  </cols>
  <sheetData>
    <row r="1" spans="1:14" ht="15.75" thickBot="1" x14ac:dyDescent="0.3"/>
    <row r="2" spans="1:14" ht="19.5" thickBot="1" x14ac:dyDescent="0.35">
      <c r="A2" s="75" t="s">
        <v>16</v>
      </c>
      <c r="B2" s="76"/>
      <c r="C2" s="76"/>
      <c r="D2" s="76"/>
      <c r="E2" s="76"/>
      <c r="F2" s="76"/>
      <c r="G2" s="77"/>
      <c r="H2" s="78" t="s">
        <v>17</v>
      </c>
      <c r="I2" s="79"/>
      <c r="J2" s="79"/>
      <c r="K2" s="79"/>
      <c r="L2" s="80"/>
      <c r="M2" s="28" t="s">
        <v>18</v>
      </c>
    </row>
    <row r="3" spans="1:14" ht="45" x14ac:dyDescent="0.25">
      <c r="A3" s="31" t="s">
        <v>1</v>
      </c>
      <c r="B3" s="32" t="s">
        <v>0</v>
      </c>
      <c r="C3" s="32" t="s">
        <v>10</v>
      </c>
      <c r="D3" s="49" t="s">
        <v>20</v>
      </c>
      <c r="E3" s="32" t="s">
        <v>2</v>
      </c>
      <c r="F3" s="32" t="s">
        <v>4</v>
      </c>
      <c r="G3" s="33" t="s">
        <v>3</v>
      </c>
      <c r="H3" s="35" t="s">
        <v>14</v>
      </c>
      <c r="I3" s="34" t="s">
        <v>19</v>
      </c>
      <c r="J3" s="36" t="s">
        <v>11</v>
      </c>
      <c r="K3" s="55" t="s">
        <v>20</v>
      </c>
      <c r="L3" s="37" t="s">
        <v>12</v>
      </c>
      <c r="M3" s="38" t="s">
        <v>13</v>
      </c>
    </row>
    <row r="4" spans="1:14" ht="15.75" x14ac:dyDescent="0.25">
      <c r="A4" s="8">
        <v>45902</v>
      </c>
      <c r="B4" s="6">
        <v>8040</v>
      </c>
      <c r="C4" s="6">
        <v>114</v>
      </c>
      <c r="D4" s="6" t="s">
        <v>24</v>
      </c>
      <c r="E4" s="6" t="s">
        <v>205</v>
      </c>
      <c r="F4" s="6" t="s">
        <v>228</v>
      </c>
      <c r="G4" s="7" t="s">
        <v>6</v>
      </c>
      <c r="H4" s="22">
        <v>45803</v>
      </c>
      <c r="I4" s="15">
        <v>7739</v>
      </c>
      <c r="J4" s="23">
        <v>6</v>
      </c>
      <c r="K4" s="50" t="s">
        <v>90</v>
      </c>
      <c r="L4" s="25">
        <f t="shared" ref="L4:L23" si="0">+(C4-J4)/(A4-H4)</f>
        <v>1.0909090909090908</v>
      </c>
      <c r="M4" s="29">
        <f>+A4+(150/L4)</f>
        <v>46039.5</v>
      </c>
      <c r="N4" s="48" t="s">
        <v>98</v>
      </c>
    </row>
    <row r="5" spans="1:14" ht="15.75" x14ac:dyDescent="0.25">
      <c r="A5" s="11">
        <v>45903</v>
      </c>
      <c r="B5" s="3">
        <v>8041</v>
      </c>
      <c r="C5" s="3">
        <v>1322</v>
      </c>
      <c r="D5" s="3" t="s">
        <v>73</v>
      </c>
      <c r="E5" s="3" t="s">
        <v>148</v>
      </c>
      <c r="F5" s="3" t="s">
        <v>149</v>
      </c>
      <c r="G5" s="4" t="s">
        <v>6</v>
      </c>
      <c r="H5" s="13">
        <v>45772</v>
      </c>
      <c r="I5" s="39">
        <v>7638</v>
      </c>
      <c r="J5" s="41">
        <v>1068</v>
      </c>
      <c r="K5" s="53" t="s">
        <v>56</v>
      </c>
      <c r="L5" s="26">
        <f t="shared" si="0"/>
        <v>1.9389312977099236</v>
      </c>
      <c r="M5" s="29">
        <f t="shared" ref="M5:M23" si="1">+A5+(250/L5)</f>
        <v>46031.937007874018</v>
      </c>
      <c r="N5" s="48" t="s">
        <v>293</v>
      </c>
    </row>
    <row r="6" spans="1:14" ht="15.75" x14ac:dyDescent="0.25">
      <c r="A6" s="8">
        <v>45903</v>
      </c>
      <c r="B6" s="6">
        <v>8042</v>
      </c>
      <c r="C6" s="6">
        <v>559</v>
      </c>
      <c r="D6" s="6" t="s">
        <v>53</v>
      </c>
      <c r="E6" s="6" t="s">
        <v>92</v>
      </c>
      <c r="F6" s="6" t="s">
        <v>93</v>
      </c>
      <c r="G6" s="7" t="s">
        <v>6</v>
      </c>
      <c r="H6" s="22">
        <v>45797</v>
      </c>
      <c r="I6" s="15">
        <v>7717</v>
      </c>
      <c r="J6" s="23">
        <v>280</v>
      </c>
      <c r="K6" s="50" t="s">
        <v>73</v>
      </c>
      <c r="L6" s="25">
        <f t="shared" si="0"/>
        <v>2.6320754716981134</v>
      </c>
      <c r="M6" s="29">
        <f t="shared" si="1"/>
        <v>45997.982078853049</v>
      </c>
      <c r="N6" s="48" t="s">
        <v>294</v>
      </c>
    </row>
    <row r="7" spans="1:14" ht="15.75" x14ac:dyDescent="0.25">
      <c r="A7" s="11">
        <v>45908</v>
      </c>
      <c r="B7" s="3">
        <v>8051</v>
      </c>
      <c r="C7" s="3">
        <v>2740</v>
      </c>
      <c r="D7" s="3" t="s">
        <v>53</v>
      </c>
      <c r="E7" s="3" t="s">
        <v>170</v>
      </c>
      <c r="F7" s="3" t="s">
        <v>169</v>
      </c>
      <c r="G7" s="4" t="s">
        <v>6</v>
      </c>
      <c r="H7" s="13">
        <v>45777</v>
      </c>
      <c r="I7" s="12">
        <v>7645</v>
      </c>
      <c r="J7" s="14">
        <v>2489</v>
      </c>
      <c r="K7" s="51" t="s">
        <v>73</v>
      </c>
      <c r="L7" s="26">
        <f>+(C7-J7)/(A7-H7)</f>
        <v>1.916030534351145</v>
      </c>
      <c r="M7" s="29">
        <f>+A7+(250/L7)</f>
        <v>46038.478087649404</v>
      </c>
      <c r="N7" s="48"/>
    </row>
    <row r="8" spans="1:14" ht="15.75" x14ac:dyDescent="0.25">
      <c r="A8" s="8">
        <v>45908</v>
      </c>
      <c r="B8" s="6">
        <v>8052</v>
      </c>
      <c r="C8" s="42">
        <v>5047</v>
      </c>
      <c r="D8" s="42" t="s">
        <v>53</v>
      </c>
      <c r="E8" s="6" t="s">
        <v>229</v>
      </c>
      <c r="F8" s="6" t="s">
        <v>230</v>
      </c>
      <c r="G8" s="7" t="s">
        <v>6</v>
      </c>
      <c r="H8" s="10">
        <v>45485</v>
      </c>
      <c r="I8" s="9">
        <v>6695</v>
      </c>
      <c r="J8" s="43">
        <v>4592</v>
      </c>
      <c r="K8" s="52" t="s">
        <v>73</v>
      </c>
      <c r="L8" s="25">
        <f t="shared" si="0"/>
        <v>1.0756501182033098</v>
      </c>
      <c r="M8" s="29">
        <f t="shared" si="1"/>
        <v>46140.417582417584</v>
      </c>
      <c r="N8" s="48" t="s">
        <v>98</v>
      </c>
    </row>
    <row r="9" spans="1:14" ht="15.75" x14ac:dyDescent="0.25">
      <c r="A9" s="11">
        <v>45908</v>
      </c>
      <c r="B9" s="3">
        <v>8053</v>
      </c>
      <c r="C9" s="44">
        <v>95</v>
      </c>
      <c r="D9" s="44" t="s">
        <v>24</v>
      </c>
      <c r="E9" s="3" t="s">
        <v>35</v>
      </c>
      <c r="F9" s="3" t="s">
        <v>231</v>
      </c>
      <c r="G9" s="4" t="s">
        <v>6</v>
      </c>
      <c r="H9" s="40"/>
      <c r="I9" s="39"/>
      <c r="J9" s="41"/>
      <c r="K9" s="53"/>
      <c r="L9" s="26">
        <f t="shared" si="0"/>
        <v>2.0693561035113705E-3</v>
      </c>
      <c r="M9" s="29">
        <f t="shared" si="1"/>
        <v>166718.5263157895</v>
      </c>
      <c r="N9" s="48"/>
    </row>
    <row r="10" spans="1:14" ht="15.75" x14ac:dyDescent="0.25">
      <c r="A10" s="8">
        <v>45908</v>
      </c>
      <c r="B10" s="6">
        <v>8054</v>
      </c>
      <c r="C10" s="6">
        <v>124</v>
      </c>
      <c r="D10" s="6" t="s">
        <v>24</v>
      </c>
      <c r="E10" s="6" t="s">
        <v>35</v>
      </c>
      <c r="F10" s="6" t="s">
        <v>232</v>
      </c>
      <c r="G10" s="7" t="s">
        <v>6</v>
      </c>
      <c r="H10" s="22"/>
      <c r="I10" s="15"/>
      <c r="J10" s="23"/>
      <c r="K10" s="50"/>
      <c r="L10" s="25">
        <f t="shared" si="0"/>
        <v>2.7010542824779994E-3</v>
      </c>
      <c r="M10" s="29">
        <f t="shared" si="1"/>
        <v>138464.45161290321</v>
      </c>
      <c r="N10" s="48"/>
    </row>
    <row r="11" spans="1:14" ht="15.75" x14ac:dyDescent="0.25">
      <c r="A11" s="11">
        <v>45909</v>
      </c>
      <c r="B11" s="3">
        <v>8063</v>
      </c>
      <c r="C11" s="44">
        <v>748</v>
      </c>
      <c r="D11" s="44" t="s">
        <v>50</v>
      </c>
      <c r="E11" s="3" t="s">
        <v>170</v>
      </c>
      <c r="F11" s="3" t="s">
        <v>233</v>
      </c>
      <c r="G11" s="4" t="s">
        <v>6</v>
      </c>
      <c r="H11" s="40">
        <v>45468</v>
      </c>
      <c r="I11" s="39">
        <v>6636</v>
      </c>
      <c r="J11" s="41">
        <v>495</v>
      </c>
      <c r="K11" s="53" t="s">
        <v>53</v>
      </c>
      <c r="L11" s="26">
        <f t="shared" si="0"/>
        <v>0.57369614512471656</v>
      </c>
      <c r="M11" s="29">
        <f t="shared" si="1"/>
        <v>46344.770750988144</v>
      </c>
      <c r="N11" s="48" t="s">
        <v>98</v>
      </c>
    </row>
    <row r="12" spans="1:14" ht="15.75" x14ac:dyDescent="0.25">
      <c r="A12" s="8">
        <v>45910</v>
      </c>
      <c r="B12" s="6">
        <v>8064</v>
      </c>
      <c r="C12" s="45">
        <v>7291</v>
      </c>
      <c r="D12" s="45" t="s">
        <v>73</v>
      </c>
      <c r="E12" s="6" t="s">
        <v>234</v>
      </c>
      <c r="F12" s="6" t="s">
        <v>235</v>
      </c>
      <c r="G12" s="7" t="s">
        <v>6</v>
      </c>
      <c r="H12" s="22">
        <v>45625</v>
      </c>
      <c r="I12" s="15">
        <v>7150</v>
      </c>
      <c r="J12" s="23">
        <v>7085</v>
      </c>
      <c r="K12" s="50" t="s">
        <v>56</v>
      </c>
      <c r="L12" s="25">
        <f t="shared" si="0"/>
        <v>0.72280701754385968</v>
      </c>
      <c r="M12" s="29">
        <f t="shared" si="1"/>
        <v>46255.87378640777</v>
      </c>
      <c r="N12" s="48" t="s">
        <v>98</v>
      </c>
    </row>
    <row r="13" spans="1:14" ht="15.75" x14ac:dyDescent="0.25">
      <c r="A13" s="11">
        <v>45910</v>
      </c>
      <c r="B13" s="3">
        <v>8065</v>
      </c>
      <c r="C13" s="3">
        <v>1340</v>
      </c>
      <c r="D13" s="3" t="s">
        <v>73</v>
      </c>
      <c r="E13" s="3" t="s">
        <v>236</v>
      </c>
      <c r="F13" s="3" t="s">
        <v>237</v>
      </c>
      <c r="G13" s="4" t="s">
        <v>6</v>
      </c>
      <c r="H13" s="40">
        <v>45439</v>
      </c>
      <c r="I13" s="39">
        <v>6569</v>
      </c>
      <c r="J13" s="41">
        <v>1015</v>
      </c>
      <c r="K13" s="53" t="s">
        <v>56</v>
      </c>
      <c r="L13" s="26">
        <f t="shared" si="0"/>
        <v>0.69002123142250527</v>
      </c>
      <c r="M13" s="29">
        <f t="shared" si="1"/>
        <v>46272.307692307695</v>
      </c>
      <c r="N13" s="48" t="s">
        <v>98</v>
      </c>
    </row>
    <row r="14" spans="1:14" ht="15.75" x14ac:dyDescent="0.25">
      <c r="A14" s="8">
        <v>45926</v>
      </c>
      <c r="B14" s="6">
        <v>8108</v>
      </c>
      <c r="C14" s="6">
        <v>265</v>
      </c>
      <c r="D14" s="6" t="s">
        <v>90</v>
      </c>
      <c r="E14" s="6" t="s">
        <v>58</v>
      </c>
      <c r="F14" s="6" t="s">
        <v>59</v>
      </c>
      <c r="G14" s="7" t="s">
        <v>6</v>
      </c>
      <c r="H14" s="10"/>
      <c r="I14" s="9"/>
      <c r="J14" s="5"/>
      <c r="K14" s="54"/>
      <c r="L14" s="25">
        <f t="shared" si="0"/>
        <v>5.770151983625833E-3</v>
      </c>
      <c r="M14" s="29">
        <f t="shared" si="1"/>
        <v>89252.415094339623</v>
      </c>
      <c r="N14" s="48"/>
    </row>
    <row r="15" spans="1:14" ht="15.75" x14ac:dyDescent="0.25">
      <c r="A15" s="11">
        <v>45926</v>
      </c>
      <c r="B15" s="3">
        <v>8109</v>
      </c>
      <c r="C15" s="44">
        <v>102</v>
      </c>
      <c r="D15" s="44" t="s">
        <v>24</v>
      </c>
      <c r="E15" s="3" t="s">
        <v>238</v>
      </c>
      <c r="F15" s="3" t="s">
        <v>239</v>
      </c>
      <c r="G15" s="4" t="s">
        <v>6</v>
      </c>
      <c r="H15" s="40"/>
      <c r="I15" s="39"/>
      <c r="J15" s="41"/>
      <c r="K15" s="53"/>
      <c r="L15" s="26">
        <f t="shared" si="0"/>
        <v>2.2209641597352261E-3</v>
      </c>
      <c r="M15" s="29">
        <f t="shared" si="1"/>
        <v>158489.72549019608</v>
      </c>
      <c r="N15" s="48" t="s">
        <v>295</v>
      </c>
    </row>
    <row r="16" spans="1:14" ht="15.75" x14ac:dyDescent="0.25">
      <c r="A16" s="8">
        <v>45926</v>
      </c>
      <c r="B16" s="6">
        <v>8110</v>
      </c>
      <c r="C16" s="6" t="s">
        <v>90</v>
      </c>
      <c r="D16" s="6" t="s">
        <v>240</v>
      </c>
      <c r="E16" s="6" t="s">
        <v>241</v>
      </c>
      <c r="F16" s="6" t="s">
        <v>242</v>
      </c>
      <c r="G16" s="7" t="s">
        <v>5</v>
      </c>
      <c r="H16" s="10"/>
      <c r="I16" s="9"/>
      <c r="J16" s="5"/>
      <c r="K16" s="54"/>
      <c r="L16" s="25" t="e">
        <f t="shared" si="0"/>
        <v>#VALUE!</v>
      </c>
      <c r="M16" s="29" t="e">
        <f>+A16+(250/L16)</f>
        <v>#VALUE!</v>
      </c>
      <c r="N16" s="48" t="s">
        <v>98</v>
      </c>
    </row>
    <row r="17" spans="1:14" ht="15.75" x14ac:dyDescent="0.25">
      <c r="A17" s="11">
        <v>45929</v>
      </c>
      <c r="B17" s="3">
        <v>8119</v>
      </c>
      <c r="C17" s="3">
        <v>1228</v>
      </c>
      <c r="D17" s="3" t="s">
        <v>56</v>
      </c>
      <c r="E17" s="3" t="s">
        <v>122</v>
      </c>
      <c r="F17" s="3" t="s">
        <v>123</v>
      </c>
      <c r="G17" s="4" t="s">
        <v>6</v>
      </c>
      <c r="H17" s="13"/>
      <c r="I17" s="12"/>
      <c r="J17" s="14"/>
      <c r="K17" s="51"/>
      <c r="L17" s="26">
        <f t="shared" si="0"/>
        <v>2.6736920028740011E-2</v>
      </c>
      <c r="M17" s="29">
        <f t="shared" si="1"/>
        <v>55279.366449511399</v>
      </c>
      <c r="N17" s="48" t="s">
        <v>296</v>
      </c>
    </row>
    <row r="18" spans="1:14" ht="15.75" x14ac:dyDescent="0.25">
      <c r="A18" s="8">
        <v>45929</v>
      </c>
      <c r="B18" s="6">
        <v>8120</v>
      </c>
      <c r="C18" s="6">
        <v>948</v>
      </c>
      <c r="D18" s="6" t="s">
        <v>243</v>
      </c>
      <c r="E18" s="6" t="s">
        <v>142</v>
      </c>
      <c r="F18" s="6" t="s">
        <v>143</v>
      </c>
      <c r="G18" s="7" t="s">
        <v>6</v>
      </c>
      <c r="H18" s="10"/>
      <c r="I18" s="9"/>
      <c r="J18" s="5"/>
      <c r="K18" s="54"/>
      <c r="L18" s="25">
        <f t="shared" si="0"/>
        <v>2.0640553898408413E-2</v>
      </c>
      <c r="M18" s="29">
        <f t="shared" si="1"/>
        <v>58041.078059071733</v>
      </c>
      <c r="N18" s="48" t="s">
        <v>298</v>
      </c>
    </row>
    <row r="19" spans="1:14" ht="15.75" x14ac:dyDescent="0.25">
      <c r="A19" s="11">
        <v>45930</v>
      </c>
      <c r="B19" s="3">
        <v>8123</v>
      </c>
      <c r="C19" s="3">
        <v>2863</v>
      </c>
      <c r="D19" s="3" t="s">
        <v>73</v>
      </c>
      <c r="E19" s="3" t="s">
        <v>71</v>
      </c>
      <c r="F19" s="3" t="s">
        <v>244</v>
      </c>
      <c r="G19" s="4" t="s">
        <v>6</v>
      </c>
      <c r="H19" s="40"/>
      <c r="I19" s="39"/>
      <c r="J19" s="41"/>
      <c r="K19" s="53"/>
      <c r="L19" s="26">
        <f t="shared" si="0"/>
        <v>6.2333986501197473E-2</v>
      </c>
      <c r="M19" s="29">
        <f t="shared" si="1"/>
        <v>49940.653161019909</v>
      </c>
      <c r="N19" s="48" t="s">
        <v>297</v>
      </c>
    </row>
    <row r="20" spans="1:14" ht="15.75" x14ac:dyDescent="0.25">
      <c r="A20" s="8"/>
      <c r="B20" s="6"/>
      <c r="C20" s="6"/>
      <c r="D20" s="6"/>
      <c r="E20" s="6"/>
      <c r="F20" s="6"/>
      <c r="G20" s="7"/>
      <c r="H20" s="10"/>
      <c r="I20" s="9"/>
      <c r="J20" s="5"/>
      <c r="K20" s="54"/>
      <c r="L20" s="25" t="e">
        <f t="shared" si="0"/>
        <v>#DIV/0!</v>
      </c>
      <c r="M20" s="29" t="e">
        <f t="shared" si="1"/>
        <v>#DIV/0!</v>
      </c>
      <c r="N20" s="48"/>
    </row>
    <row r="21" spans="1:14" ht="15.75" x14ac:dyDescent="0.25">
      <c r="A21" s="11"/>
      <c r="B21" s="3"/>
      <c r="C21" s="3"/>
      <c r="D21" s="3"/>
      <c r="E21" s="3"/>
      <c r="F21" s="3"/>
      <c r="G21" s="4"/>
      <c r="H21" s="13"/>
      <c r="I21" s="12"/>
      <c r="J21" s="14"/>
      <c r="K21" s="51"/>
      <c r="L21" s="26" t="e">
        <f t="shared" si="0"/>
        <v>#DIV/0!</v>
      </c>
      <c r="M21" s="29" t="e">
        <f t="shared" si="1"/>
        <v>#DIV/0!</v>
      </c>
      <c r="N21" s="48"/>
    </row>
    <row r="22" spans="1:14" ht="15.75" x14ac:dyDescent="0.25">
      <c r="A22" s="8"/>
      <c r="B22" s="6"/>
      <c r="C22" s="6"/>
      <c r="D22" s="6"/>
      <c r="E22" s="6"/>
      <c r="F22" s="6"/>
      <c r="G22" s="7"/>
      <c r="H22" s="10"/>
      <c r="I22" s="9"/>
      <c r="J22" s="5"/>
      <c r="K22" s="54"/>
      <c r="L22" s="25" t="e">
        <f t="shared" si="0"/>
        <v>#DIV/0!</v>
      </c>
      <c r="M22" s="29" t="e">
        <f t="shared" si="1"/>
        <v>#DIV/0!</v>
      </c>
    </row>
    <row r="23" spans="1:14" ht="15.75" x14ac:dyDescent="0.25">
      <c r="A23" s="8"/>
      <c r="B23" s="6"/>
      <c r="C23" s="6"/>
      <c r="D23" s="6"/>
      <c r="E23" s="6"/>
      <c r="F23" s="6"/>
      <c r="G23" s="7"/>
      <c r="H23" s="10"/>
      <c r="I23" s="9"/>
      <c r="J23" s="5"/>
      <c r="K23" s="54"/>
      <c r="L23" s="25" t="e">
        <f t="shared" si="0"/>
        <v>#DIV/0!</v>
      </c>
      <c r="M23" s="29" t="e">
        <f t="shared" si="1"/>
        <v>#DIV/0!</v>
      </c>
    </row>
  </sheetData>
  <autoFilter ref="A3:M23"/>
  <mergeCells count="2">
    <mergeCell ref="A2:G2"/>
    <mergeCell ref="H2: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opLeftCell="A7" zoomScale="85" zoomScaleNormal="85" workbookViewId="0">
      <selection activeCell="N29" sqref="N29"/>
    </sheetView>
  </sheetViews>
  <sheetFormatPr baseColWidth="10" defaultRowHeight="15" x14ac:dyDescent="0.25"/>
  <cols>
    <col min="1" max="1" width="10.85546875" bestFit="1" customWidth="1"/>
    <col min="2" max="2" width="9.42578125" bestFit="1" customWidth="1"/>
    <col min="3" max="3" width="6.5703125" bestFit="1" customWidth="1"/>
    <col min="4" max="4" width="7.140625" bestFit="1" customWidth="1"/>
    <col min="5" max="5" width="39.140625" bestFit="1" customWidth="1"/>
    <col min="6" max="6" width="26.42578125" bestFit="1" customWidth="1"/>
    <col min="7" max="7" width="7.85546875" customWidth="1"/>
    <col min="8" max="8" width="12.42578125" customWidth="1"/>
    <col min="9" max="9" width="10.42578125" bestFit="1" customWidth="1"/>
    <col min="10" max="10" width="6.85546875" bestFit="1" customWidth="1"/>
    <col min="11" max="11" width="7.140625" bestFit="1" customWidth="1"/>
    <col min="13" max="13" width="20.7109375" bestFit="1" customWidth="1"/>
  </cols>
  <sheetData>
    <row r="1" spans="1:14" ht="19.5" thickBot="1" x14ac:dyDescent="0.35">
      <c r="A1" s="75" t="s">
        <v>16</v>
      </c>
      <c r="B1" s="76"/>
      <c r="C1" s="76"/>
      <c r="D1" s="76"/>
      <c r="E1" s="76"/>
      <c r="F1" s="76"/>
      <c r="G1" s="77"/>
      <c r="H1" s="78" t="s">
        <v>17</v>
      </c>
      <c r="I1" s="79"/>
      <c r="J1" s="79"/>
      <c r="K1" s="79"/>
      <c r="L1" s="80"/>
      <c r="M1" s="28" t="s">
        <v>18</v>
      </c>
    </row>
    <row r="2" spans="1:14" ht="45" x14ac:dyDescent="0.25">
      <c r="A2" s="31" t="s">
        <v>1</v>
      </c>
      <c r="B2" s="32" t="s">
        <v>0</v>
      </c>
      <c r="C2" s="32" t="s">
        <v>10</v>
      </c>
      <c r="D2" s="49" t="s">
        <v>20</v>
      </c>
      <c r="E2" s="32" t="s">
        <v>2</v>
      </c>
      <c r="F2" s="32" t="s">
        <v>4</v>
      </c>
      <c r="G2" s="33" t="s">
        <v>3</v>
      </c>
      <c r="H2" s="35" t="s">
        <v>14</v>
      </c>
      <c r="I2" s="34" t="s">
        <v>19</v>
      </c>
      <c r="J2" s="36" t="s">
        <v>11</v>
      </c>
      <c r="K2" s="55" t="s">
        <v>20</v>
      </c>
      <c r="L2" s="37" t="s">
        <v>12</v>
      </c>
      <c r="M2" s="38" t="s">
        <v>13</v>
      </c>
    </row>
    <row r="3" spans="1:14" ht="15.75" x14ac:dyDescent="0.25">
      <c r="A3" s="8">
        <v>45931</v>
      </c>
      <c r="B3" s="6">
        <v>8142</v>
      </c>
      <c r="C3" s="6">
        <v>10967</v>
      </c>
      <c r="D3" s="6" t="s">
        <v>53</v>
      </c>
      <c r="E3" s="6" t="s">
        <v>51</v>
      </c>
      <c r="F3" s="6" t="s">
        <v>99</v>
      </c>
      <c r="G3" s="7" t="s">
        <v>5</v>
      </c>
      <c r="H3" s="22" t="s">
        <v>90</v>
      </c>
      <c r="I3" s="15" t="s">
        <v>90</v>
      </c>
      <c r="J3" s="23" t="s">
        <v>90</v>
      </c>
      <c r="K3" s="50" t="s">
        <v>90</v>
      </c>
      <c r="L3" s="25" t="e">
        <f t="shared" ref="L3:L19" si="0">+(C3-J3)/(A3-H3)</f>
        <v>#VALUE!</v>
      </c>
      <c r="M3" s="29" t="e">
        <f t="shared" ref="M3:M19" si="1">+A3+(250/L3)</f>
        <v>#VALUE!</v>
      </c>
      <c r="N3" s="47" t="s">
        <v>299</v>
      </c>
    </row>
    <row r="4" spans="1:14" ht="15.75" x14ac:dyDescent="0.25">
      <c r="A4" s="11">
        <v>45932</v>
      </c>
      <c r="B4" s="3">
        <v>8145</v>
      </c>
      <c r="C4" s="3">
        <v>1835</v>
      </c>
      <c r="D4" s="3" t="s">
        <v>50</v>
      </c>
      <c r="E4" s="3" t="s">
        <v>9</v>
      </c>
      <c r="F4" s="3" t="s">
        <v>27</v>
      </c>
      <c r="G4" s="4" t="s">
        <v>6</v>
      </c>
      <c r="H4" s="13">
        <v>45674</v>
      </c>
      <c r="I4" s="39">
        <v>7294</v>
      </c>
      <c r="J4" s="41">
        <v>1588</v>
      </c>
      <c r="K4" s="53" t="s">
        <v>53</v>
      </c>
      <c r="L4" s="26">
        <f t="shared" si="0"/>
        <v>0.95736434108527135</v>
      </c>
      <c r="M4" s="29">
        <f t="shared" si="1"/>
        <v>46193.133603238864</v>
      </c>
      <c r="N4" s="47" t="s">
        <v>98</v>
      </c>
    </row>
    <row r="5" spans="1:14" ht="15.75" x14ac:dyDescent="0.25">
      <c r="A5" s="8">
        <v>45932</v>
      </c>
      <c r="B5" s="6">
        <v>8146</v>
      </c>
      <c r="C5" s="6">
        <v>3008</v>
      </c>
      <c r="D5" s="6" t="s">
        <v>56</v>
      </c>
      <c r="E5" s="6" t="s">
        <v>245</v>
      </c>
      <c r="F5" s="6" t="s">
        <v>246</v>
      </c>
      <c r="G5" s="7" t="s">
        <v>6</v>
      </c>
      <c r="H5" s="22">
        <v>45603</v>
      </c>
      <c r="I5" s="15">
        <v>7067</v>
      </c>
      <c r="J5" s="23">
        <v>2739</v>
      </c>
      <c r="K5" s="50" t="s">
        <v>50</v>
      </c>
      <c r="L5" s="25">
        <f t="shared" si="0"/>
        <v>0.81762917933130697</v>
      </c>
      <c r="M5" s="29">
        <f t="shared" si="1"/>
        <v>46237.762081784385</v>
      </c>
      <c r="N5" s="47" t="s">
        <v>98</v>
      </c>
    </row>
    <row r="6" spans="1:14" ht="15.75" x14ac:dyDescent="0.25">
      <c r="A6" s="11">
        <v>45932</v>
      </c>
      <c r="B6" s="3">
        <v>8147</v>
      </c>
      <c r="C6" s="3">
        <v>562</v>
      </c>
      <c r="D6" s="3" t="s">
        <v>53</v>
      </c>
      <c r="E6" s="3" t="s">
        <v>125</v>
      </c>
      <c r="F6" s="3" t="s">
        <v>126</v>
      </c>
      <c r="G6" s="4" t="s">
        <v>6</v>
      </c>
      <c r="H6" s="13">
        <v>45821</v>
      </c>
      <c r="I6" s="39">
        <v>7781</v>
      </c>
      <c r="J6" s="41">
        <v>302</v>
      </c>
      <c r="K6" s="53" t="s">
        <v>73</v>
      </c>
      <c r="L6" s="26">
        <f t="shared" si="0"/>
        <v>2.3423423423423424</v>
      </c>
      <c r="M6" s="29">
        <f t="shared" si="1"/>
        <v>46038.730769230766</v>
      </c>
      <c r="N6" s="47" t="s">
        <v>300</v>
      </c>
    </row>
    <row r="7" spans="1:14" ht="15.75" x14ac:dyDescent="0.25">
      <c r="A7" s="8">
        <v>45937</v>
      </c>
      <c r="B7" s="6">
        <v>8155</v>
      </c>
      <c r="C7" s="6">
        <v>273</v>
      </c>
      <c r="D7" s="6" t="s">
        <v>73</v>
      </c>
      <c r="E7" s="6" t="s">
        <v>205</v>
      </c>
      <c r="F7" s="6" t="s">
        <v>206</v>
      </c>
      <c r="G7" s="7" t="s">
        <v>6</v>
      </c>
      <c r="H7" s="22">
        <v>45867</v>
      </c>
      <c r="I7" s="15">
        <v>7911</v>
      </c>
      <c r="J7" s="23">
        <v>125</v>
      </c>
      <c r="K7" s="50">
        <v>100</v>
      </c>
      <c r="L7" s="25">
        <f t="shared" si="0"/>
        <v>2.1142857142857143</v>
      </c>
      <c r="M7" s="29">
        <f t="shared" si="1"/>
        <v>46055.24324324324</v>
      </c>
      <c r="N7" s="47" t="s">
        <v>300</v>
      </c>
    </row>
    <row r="8" spans="1:14" ht="15.75" x14ac:dyDescent="0.25">
      <c r="A8" s="11">
        <v>45937</v>
      </c>
      <c r="B8" s="3">
        <v>8157</v>
      </c>
      <c r="C8" s="3">
        <v>20117</v>
      </c>
      <c r="D8" s="3" t="s">
        <v>73</v>
      </c>
      <c r="E8" s="3" t="s">
        <v>247</v>
      </c>
      <c r="F8" s="3" t="s">
        <v>248</v>
      </c>
      <c r="G8" s="4" t="s">
        <v>5</v>
      </c>
      <c r="H8" s="13">
        <v>45359</v>
      </c>
      <c r="I8" s="39">
        <v>6366</v>
      </c>
      <c r="J8" s="41">
        <v>336</v>
      </c>
      <c r="K8" s="53" t="s">
        <v>56</v>
      </c>
      <c r="L8" s="26">
        <f t="shared" si="0"/>
        <v>34.22318339100346</v>
      </c>
      <c r="M8" s="29">
        <f t="shared" si="1"/>
        <v>45944.304989636519</v>
      </c>
      <c r="N8" s="47" t="s">
        <v>98</v>
      </c>
    </row>
    <row r="9" spans="1:14" ht="15.75" x14ac:dyDescent="0.25">
      <c r="A9" s="8">
        <v>45937</v>
      </c>
      <c r="B9" s="6">
        <v>8162</v>
      </c>
      <c r="C9" s="6">
        <v>1906</v>
      </c>
      <c r="D9" s="6" t="s">
        <v>50</v>
      </c>
      <c r="E9" s="6" t="s">
        <v>115</v>
      </c>
      <c r="F9" s="6" t="s">
        <v>116</v>
      </c>
      <c r="G9" s="7" t="s">
        <v>6</v>
      </c>
      <c r="H9" s="22">
        <v>45730</v>
      </c>
      <c r="I9" s="15">
        <v>7473</v>
      </c>
      <c r="J9" s="23">
        <v>1637</v>
      </c>
      <c r="K9" s="50" t="s">
        <v>53</v>
      </c>
      <c r="L9" s="25">
        <f t="shared" si="0"/>
        <v>1.2995169082125604</v>
      </c>
      <c r="M9" s="29">
        <f t="shared" si="1"/>
        <v>46129.379182156132</v>
      </c>
      <c r="N9" s="47" t="s">
        <v>98</v>
      </c>
    </row>
    <row r="10" spans="1:14" ht="15.75" x14ac:dyDescent="0.25">
      <c r="A10" s="11">
        <v>45937</v>
      </c>
      <c r="B10" s="3">
        <v>8163</v>
      </c>
      <c r="C10" s="3">
        <v>620</v>
      </c>
      <c r="D10" s="3" t="s">
        <v>117</v>
      </c>
      <c r="E10" s="3" t="s">
        <v>115</v>
      </c>
      <c r="F10" s="3" t="s">
        <v>249</v>
      </c>
      <c r="G10" s="4" t="s">
        <v>6</v>
      </c>
      <c r="H10" s="13">
        <v>45160</v>
      </c>
      <c r="I10" s="39">
        <v>5919</v>
      </c>
      <c r="J10" s="41">
        <v>581</v>
      </c>
      <c r="K10" s="53" t="s">
        <v>56</v>
      </c>
      <c r="L10" s="26">
        <f t="shared" si="0"/>
        <v>5.019305019305019E-2</v>
      </c>
      <c r="M10" s="29">
        <f t="shared" si="1"/>
        <v>50917.769230769234</v>
      </c>
      <c r="N10" s="47" t="s">
        <v>98</v>
      </c>
    </row>
    <row r="11" spans="1:14" ht="15.75" x14ac:dyDescent="0.25">
      <c r="A11" s="8">
        <v>45938</v>
      </c>
      <c r="B11" s="6">
        <v>8166</v>
      </c>
      <c r="C11" s="6">
        <v>3891</v>
      </c>
      <c r="D11" s="6" t="s">
        <v>50</v>
      </c>
      <c r="E11" s="6" t="s">
        <v>112</v>
      </c>
      <c r="F11" s="6" t="s">
        <v>113</v>
      </c>
      <c r="G11" s="7" t="s">
        <v>6</v>
      </c>
      <c r="H11" s="22" t="s">
        <v>90</v>
      </c>
      <c r="I11" s="15" t="s">
        <v>90</v>
      </c>
      <c r="J11" s="23" t="s">
        <v>90</v>
      </c>
      <c r="K11" s="50" t="s">
        <v>90</v>
      </c>
      <c r="L11" s="25" t="e">
        <f t="shared" si="0"/>
        <v>#VALUE!</v>
      </c>
      <c r="M11" s="29" t="e">
        <f t="shared" si="1"/>
        <v>#VALUE!</v>
      </c>
      <c r="N11" s="47" t="s">
        <v>292</v>
      </c>
    </row>
    <row r="12" spans="1:14" ht="15.75" x14ac:dyDescent="0.25">
      <c r="A12" s="11">
        <v>45938</v>
      </c>
      <c r="B12" s="3">
        <v>8169</v>
      </c>
      <c r="C12" s="3" t="s">
        <v>250</v>
      </c>
      <c r="D12" s="44" t="s">
        <v>90</v>
      </c>
      <c r="E12" s="3" t="s">
        <v>251</v>
      </c>
      <c r="F12" s="3" t="s">
        <v>252</v>
      </c>
      <c r="G12" s="4" t="s">
        <v>5</v>
      </c>
      <c r="H12" s="13" t="s">
        <v>90</v>
      </c>
      <c r="I12" s="39" t="s">
        <v>90</v>
      </c>
      <c r="J12" s="41" t="s">
        <v>90</v>
      </c>
      <c r="K12" s="53" t="s">
        <v>90</v>
      </c>
      <c r="L12" s="26" t="e">
        <f t="shared" si="0"/>
        <v>#VALUE!</v>
      </c>
      <c r="M12" s="29" t="e">
        <f t="shared" si="1"/>
        <v>#VALUE!</v>
      </c>
      <c r="N12" s="47" t="s">
        <v>98</v>
      </c>
    </row>
    <row r="13" spans="1:14" ht="15.75" x14ac:dyDescent="0.25">
      <c r="A13" s="8">
        <v>45944</v>
      </c>
      <c r="B13" s="6">
        <v>8171</v>
      </c>
      <c r="C13" s="6">
        <v>16047</v>
      </c>
      <c r="D13" s="6" t="s">
        <v>56</v>
      </c>
      <c r="E13" s="6" t="s">
        <v>28</v>
      </c>
      <c r="F13" s="6">
        <v>2894</v>
      </c>
      <c r="G13" s="7" t="s">
        <v>5</v>
      </c>
      <c r="H13" s="22">
        <v>45840</v>
      </c>
      <c r="I13" s="15">
        <v>7835</v>
      </c>
      <c r="J13" s="23">
        <v>15754</v>
      </c>
      <c r="K13" s="50" t="s">
        <v>50</v>
      </c>
      <c r="L13" s="25">
        <f t="shared" si="0"/>
        <v>2.8173076923076925</v>
      </c>
      <c r="M13" s="29">
        <f t="shared" si="1"/>
        <v>46032.737201365191</v>
      </c>
      <c r="N13" s="47"/>
    </row>
    <row r="14" spans="1:14" ht="15.75" x14ac:dyDescent="0.25">
      <c r="A14" s="11">
        <v>45938</v>
      </c>
      <c r="B14" s="3">
        <v>8175</v>
      </c>
      <c r="C14" s="3">
        <v>4008</v>
      </c>
      <c r="D14" s="3" t="s">
        <v>56</v>
      </c>
      <c r="E14" s="3" t="s">
        <v>253</v>
      </c>
      <c r="F14" s="3">
        <v>2736</v>
      </c>
      <c r="G14" s="4" t="s">
        <v>6</v>
      </c>
      <c r="H14" s="13">
        <v>45589</v>
      </c>
      <c r="I14" s="39">
        <v>7025</v>
      </c>
      <c r="J14" s="41">
        <v>3747</v>
      </c>
      <c r="K14" s="53" t="s">
        <v>50</v>
      </c>
      <c r="L14" s="26">
        <f t="shared" si="0"/>
        <v>0.74785100286532946</v>
      </c>
      <c r="M14" s="29">
        <f t="shared" si="1"/>
        <v>46272.291187739465</v>
      </c>
      <c r="N14" s="47" t="s">
        <v>98</v>
      </c>
    </row>
    <row r="15" spans="1:14" ht="15.75" x14ac:dyDescent="0.25">
      <c r="A15" s="8">
        <v>45939</v>
      </c>
      <c r="B15" s="6">
        <v>8176</v>
      </c>
      <c r="C15" s="6">
        <v>4962</v>
      </c>
      <c r="D15" s="6" t="s">
        <v>73</v>
      </c>
      <c r="E15" s="6" t="s">
        <v>62</v>
      </c>
      <c r="F15" s="6" t="s">
        <v>63</v>
      </c>
      <c r="G15" s="7" t="s">
        <v>5</v>
      </c>
      <c r="H15" s="22"/>
      <c r="I15" s="15"/>
      <c r="J15" s="23"/>
      <c r="K15" s="50"/>
      <c r="L15" s="25">
        <f t="shared" si="0"/>
        <v>0.10801279958205447</v>
      </c>
      <c r="M15" s="29">
        <f>+A15+(250/L15)</f>
        <v>48253.540507859732</v>
      </c>
      <c r="N15" s="47"/>
    </row>
    <row r="16" spans="1:14" ht="15.75" x14ac:dyDescent="0.25">
      <c r="A16" s="11">
        <v>45939</v>
      </c>
      <c r="B16" s="3">
        <v>8178</v>
      </c>
      <c r="C16" s="3">
        <v>112</v>
      </c>
      <c r="D16" s="3" t="s">
        <v>24</v>
      </c>
      <c r="E16" s="3" t="s">
        <v>254</v>
      </c>
      <c r="F16" s="3" t="s">
        <v>255</v>
      </c>
      <c r="G16" s="4" t="s">
        <v>6</v>
      </c>
      <c r="H16" s="13">
        <v>45805</v>
      </c>
      <c r="I16" s="39">
        <v>7736</v>
      </c>
      <c r="J16" s="41">
        <v>74</v>
      </c>
      <c r="K16" s="53" t="s">
        <v>90</v>
      </c>
      <c r="L16" s="26">
        <f t="shared" si="0"/>
        <v>0.28358208955223879</v>
      </c>
      <c r="M16" s="29">
        <f>+A16+(150/L16)</f>
        <v>46467.947368421053</v>
      </c>
      <c r="N16" s="47" t="s">
        <v>98</v>
      </c>
    </row>
    <row r="17" spans="1:14" ht="15.75" x14ac:dyDescent="0.25">
      <c r="A17" s="8">
        <v>45939</v>
      </c>
      <c r="B17" s="6">
        <v>8179</v>
      </c>
      <c r="C17" s="6">
        <v>4618</v>
      </c>
      <c r="D17" s="6" t="s">
        <v>50</v>
      </c>
      <c r="E17" s="6" t="s">
        <v>134</v>
      </c>
      <c r="F17" s="6" t="s">
        <v>135</v>
      </c>
      <c r="G17" s="7" t="s">
        <v>6</v>
      </c>
      <c r="H17" s="22" t="s">
        <v>90</v>
      </c>
      <c r="I17" s="15" t="s">
        <v>90</v>
      </c>
      <c r="J17" s="23" t="s">
        <v>90</v>
      </c>
      <c r="K17" s="50" t="s">
        <v>90</v>
      </c>
      <c r="L17" s="25" t="e">
        <f t="shared" si="0"/>
        <v>#VALUE!</v>
      </c>
      <c r="M17" s="29" t="e">
        <f t="shared" si="1"/>
        <v>#VALUE!</v>
      </c>
      <c r="N17" s="47"/>
    </row>
    <row r="18" spans="1:14" ht="15.75" x14ac:dyDescent="0.25">
      <c r="A18" s="11">
        <v>45945</v>
      </c>
      <c r="B18" s="3">
        <v>8197</v>
      </c>
      <c r="C18" s="3">
        <v>260</v>
      </c>
      <c r="D18" s="3" t="s">
        <v>73</v>
      </c>
      <c r="E18" s="3" t="s">
        <v>35</v>
      </c>
      <c r="F18" s="3" t="s">
        <v>231</v>
      </c>
      <c r="G18" s="4" t="s">
        <v>6</v>
      </c>
      <c r="H18" s="13" t="s">
        <v>90</v>
      </c>
      <c r="I18" s="39" t="s">
        <v>90</v>
      </c>
      <c r="J18" s="41" t="s">
        <v>90</v>
      </c>
      <c r="K18" s="53" t="s">
        <v>90</v>
      </c>
      <c r="L18" s="26" t="e">
        <f t="shared" si="0"/>
        <v>#VALUE!</v>
      </c>
      <c r="M18" s="29" t="e">
        <f t="shared" si="1"/>
        <v>#VALUE!</v>
      </c>
      <c r="N18" s="47"/>
    </row>
    <row r="19" spans="1:14" ht="15.75" x14ac:dyDescent="0.25">
      <c r="A19" s="8">
        <v>45945</v>
      </c>
      <c r="B19" s="6">
        <v>8198</v>
      </c>
      <c r="C19" s="6">
        <v>333</v>
      </c>
      <c r="D19" s="6" t="s">
        <v>73</v>
      </c>
      <c r="E19" s="6" t="s">
        <v>35</v>
      </c>
      <c r="F19" s="6" t="s">
        <v>232</v>
      </c>
      <c r="G19" s="7" t="s">
        <v>6</v>
      </c>
      <c r="H19" s="22" t="s">
        <v>90</v>
      </c>
      <c r="I19" s="15" t="s">
        <v>90</v>
      </c>
      <c r="J19" s="23" t="s">
        <v>90</v>
      </c>
      <c r="K19" s="50" t="s">
        <v>90</v>
      </c>
      <c r="L19" s="25" t="e">
        <f t="shared" si="0"/>
        <v>#VALUE!</v>
      </c>
      <c r="M19" s="29" t="e">
        <f t="shared" si="1"/>
        <v>#VALUE!</v>
      </c>
      <c r="N19" s="47"/>
    </row>
    <row r="20" spans="1:14" ht="15.75" x14ac:dyDescent="0.25">
      <c r="A20" s="11">
        <v>45950</v>
      </c>
      <c r="B20" s="3">
        <v>8203</v>
      </c>
      <c r="C20" s="3">
        <v>4700</v>
      </c>
      <c r="D20" s="60" t="s">
        <v>53</v>
      </c>
      <c r="E20" s="3" t="s">
        <v>256</v>
      </c>
      <c r="F20" s="3" t="s">
        <v>257</v>
      </c>
      <c r="G20" s="4" t="s">
        <v>5</v>
      </c>
      <c r="H20" s="13">
        <v>45323</v>
      </c>
      <c r="I20" s="39">
        <v>6284</v>
      </c>
      <c r="J20" s="41">
        <v>4245</v>
      </c>
      <c r="K20" s="53" t="s">
        <v>56</v>
      </c>
      <c r="L20" s="26">
        <f t="shared" ref="L20:L28" si="2">+(C20-J20)/(A20-H20)</f>
        <v>0.72567783094098881</v>
      </c>
      <c r="M20" s="29">
        <f t="shared" ref="M20:M27" si="3">+A20+(250/L20)</f>
        <v>46294.505494505494</v>
      </c>
      <c r="N20" s="47" t="s">
        <v>98</v>
      </c>
    </row>
    <row r="21" spans="1:14" ht="15.75" x14ac:dyDescent="0.25">
      <c r="A21" s="8">
        <v>45952</v>
      </c>
      <c r="B21" s="6">
        <v>8206</v>
      </c>
      <c r="C21" s="6" t="s">
        <v>90</v>
      </c>
      <c r="D21" s="6" t="s">
        <v>218</v>
      </c>
      <c r="E21" s="6" t="s">
        <v>28</v>
      </c>
      <c r="F21" s="6" t="s">
        <v>258</v>
      </c>
      <c r="G21" s="7" t="s">
        <v>6</v>
      </c>
      <c r="H21" s="22" t="s">
        <v>90</v>
      </c>
      <c r="I21" s="15" t="s">
        <v>90</v>
      </c>
      <c r="J21" s="23" t="s">
        <v>90</v>
      </c>
      <c r="K21" s="50" t="s">
        <v>90</v>
      </c>
      <c r="L21" s="25" t="e">
        <f t="shared" si="2"/>
        <v>#VALUE!</v>
      </c>
      <c r="M21" s="29" t="e">
        <f t="shared" si="3"/>
        <v>#VALUE!</v>
      </c>
      <c r="N21" s="47" t="s">
        <v>98</v>
      </c>
    </row>
    <row r="22" spans="1:14" ht="15.75" x14ac:dyDescent="0.25">
      <c r="A22" s="11">
        <v>45953</v>
      </c>
      <c r="B22" s="3">
        <v>8225</v>
      </c>
      <c r="C22" s="3">
        <v>147</v>
      </c>
      <c r="D22" s="3" t="s">
        <v>24</v>
      </c>
      <c r="E22" s="3" t="s">
        <v>259</v>
      </c>
      <c r="F22" s="3" t="s">
        <v>260</v>
      </c>
      <c r="G22" s="4" t="s">
        <v>6</v>
      </c>
      <c r="H22" s="13" t="s">
        <v>90</v>
      </c>
      <c r="I22" s="39" t="s">
        <v>90</v>
      </c>
      <c r="J22" s="41" t="s">
        <v>90</v>
      </c>
      <c r="K22" s="53" t="s">
        <v>90</v>
      </c>
      <c r="L22" s="26" t="e">
        <f t="shared" si="2"/>
        <v>#VALUE!</v>
      </c>
      <c r="M22" s="29" t="e">
        <f t="shared" si="3"/>
        <v>#VALUE!</v>
      </c>
      <c r="N22" s="47" t="s">
        <v>98</v>
      </c>
    </row>
    <row r="23" spans="1:14" ht="15.75" x14ac:dyDescent="0.25">
      <c r="A23" s="8">
        <v>45944</v>
      </c>
      <c r="B23" s="6">
        <v>8227</v>
      </c>
      <c r="C23" s="6">
        <v>1103</v>
      </c>
      <c r="D23" s="61" t="s">
        <v>21</v>
      </c>
      <c r="E23" s="6" t="s">
        <v>35</v>
      </c>
      <c r="F23" s="6" t="s">
        <v>36</v>
      </c>
      <c r="G23" s="7" t="s">
        <v>6</v>
      </c>
      <c r="H23" s="22">
        <v>45804</v>
      </c>
      <c r="I23" s="15">
        <v>7735</v>
      </c>
      <c r="J23" s="23">
        <v>847</v>
      </c>
      <c r="K23" s="50" t="s">
        <v>50</v>
      </c>
      <c r="L23" s="25">
        <f t="shared" si="2"/>
        <v>1.8285714285714285</v>
      </c>
      <c r="M23" s="29">
        <f t="shared" si="3"/>
        <v>46080.71875</v>
      </c>
      <c r="N23" s="47" t="s">
        <v>300</v>
      </c>
    </row>
    <row r="24" spans="1:14" ht="15.75" x14ac:dyDescent="0.25">
      <c r="A24" s="11">
        <v>45954</v>
      </c>
      <c r="B24" s="3">
        <v>8229</v>
      </c>
      <c r="C24" s="3">
        <v>3504</v>
      </c>
      <c r="D24" s="3" t="s">
        <v>56</v>
      </c>
      <c r="E24" s="3" t="s">
        <v>31</v>
      </c>
      <c r="F24" s="3" t="s">
        <v>32</v>
      </c>
      <c r="G24" s="4" t="s">
        <v>6</v>
      </c>
      <c r="H24" s="13" t="s">
        <v>90</v>
      </c>
      <c r="I24" s="39" t="s">
        <v>90</v>
      </c>
      <c r="J24" s="41" t="s">
        <v>90</v>
      </c>
      <c r="K24" s="53" t="s">
        <v>90</v>
      </c>
      <c r="L24" s="26" t="e">
        <f t="shared" si="2"/>
        <v>#VALUE!</v>
      </c>
      <c r="M24" s="29" t="e">
        <f t="shared" si="3"/>
        <v>#VALUE!</v>
      </c>
      <c r="N24" s="47"/>
    </row>
    <row r="25" spans="1:14" ht="15.75" x14ac:dyDescent="0.25">
      <c r="A25" s="8">
        <v>45951</v>
      </c>
      <c r="B25" s="6">
        <v>8233</v>
      </c>
      <c r="C25" s="6">
        <v>13076</v>
      </c>
      <c r="D25" s="6" t="s">
        <v>21</v>
      </c>
      <c r="E25" s="6" t="s">
        <v>62</v>
      </c>
      <c r="F25" s="6" t="s">
        <v>80</v>
      </c>
      <c r="G25" s="7" t="s">
        <v>6</v>
      </c>
      <c r="H25" s="22" t="s">
        <v>90</v>
      </c>
      <c r="I25" s="15" t="s">
        <v>90</v>
      </c>
      <c r="J25" s="23" t="s">
        <v>90</v>
      </c>
      <c r="K25" s="50" t="s">
        <v>90</v>
      </c>
      <c r="L25" s="25" t="e">
        <f t="shared" si="2"/>
        <v>#VALUE!</v>
      </c>
      <c r="M25" s="29" t="e">
        <f t="shared" si="3"/>
        <v>#VALUE!</v>
      </c>
    </row>
    <row r="26" spans="1:14" ht="15.75" x14ac:dyDescent="0.25">
      <c r="A26" s="11">
        <v>45959</v>
      </c>
      <c r="B26" s="3">
        <v>8247</v>
      </c>
      <c r="C26" s="3">
        <v>280</v>
      </c>
      <c r="D26" s="3" t="s">
        <v>131</v>
      </c>
      <c r="E26" s="3" t="s">
        <v>58</v>
      </c>
      <c r="F26" s="3" t="s">
        <v>59</v>
      </c>
      <c r="G26" s="4" t="s">
        <v>6</v>
      </c>
      <c r="H26" s="13" t="s">
        <v>90</v>
      </c>
      <c r="I26" s="39" t="s">
        <v>90</v>
      </c>
      <c r="J26" s="41" t="s">
        <v>90</v>
      </c>
      <c r="K26" s="53" t="s">
        <v>90</v>
      </c>
      <c r="L26" s="26" t="e">
        <f t="shared" si="2"/>
        <v>#VALUE!</v>
      </c>
      <c r="M26" s="29" t="e">
        <f t="shared" si="3"/>
        <v>#VALUE!</v>
      </c>
    </row>
    <row r="27" spans="1:14" ht="15.75" x14ac:dyDescent="0.25">
      <c r="A27" s="8">
        <v>45960</v>
      </c>
      <c r="B27" s="6">
        <v>8253</v>
      </c>
      <c r="C27" s="6">
        <v>3349</v>
      </c>
      <c r="D27" s="6" t="s">
        <v>56</v>
      </c>
      <c r="E27" s="6" t="s">
        <v>198</v>
      </c>
      <c r="F27" s="6" t="s">
        <v>199</v>
      </c>
      <c r="G27" s="7" t="s">
        <v>6</v>
      </c>
      <c r="H27" s="22">
        <v>45848</v>
      </c>
      <c r="I27" s="15">
        <v>7864</v>
      </c>
      <c r="J27" s="23">
        <v>2976</v>
      </c>
      <c r="K27" s="50" t="s">
        <v>50</v>
      </c>
      <c r="L27" s="25">
        <f t="shared" si="2"/>
        <v>3.3303571428571428</v>
      </c>
      <c r="M27" s="29">
        <f t="shared" si="3"/>
        <v>46035.067024128686</v>
      </c>
      <c r="N27" t="s">
        <v>300</v>
      </c>
    </row>
    <row r="28" spans="1:14" ht="15.75" x14ac:dyDescent="0.25">
      <c r="A28" s="11">
        <v>45961</v>
      </c>
      <c r="B28" s="3">
        <v>8259</v>
      </c>
      <c r="C28" s="3">
        <v>110</v>
      </c>
      <c r="D28" s="3" t="s">
        <v>24</v>
      </c>
      <c r="E28" s="3" t="s">
        <v>261</v>
      </c>
      <c r="F28" s="3" t="s">
        <v>262</v>
      </c>
      <c r="G28" s="4" t="s">
        <v>6</v>
      </c>
      <c r="H28" s="13">
        <v>45894</v>
      </c>
      <c r="I28" s="39">
        <v>8057</v>
      </c>
      <c r="J28" s="41">
        <v>5</v>
      </c>
      <c r="K28" s="53" t="s">
        <v>90</v>
      </c>
      <c r="L28" s="26">
        <f t="shared" si="2"/>
        <v>1.5671641791044777</v>
      </c>
      <c r="M28" s="29">
        <f>+A28+(150/L28)</f>
        <v>46056.714285714283</v>
      </c>
      <c r="N28" t="s">
        <v>300</v>
      </c>
    </row>
    <row r="29" spans="1:14" ht="15.75" x14ac:dyDescent="0.25">
      <c r="A29" s="8"/>
      <c r="B29" s="6"/>
      <c r="C29" s="6"/>
      <c r="D29" s="6"/>
      <c r="E29" s="6"/>
      <c r="F29" s="6"/>
      <c r="G29" s="7"/>
      <c r="H29" s="22"/>
      <c r="I29" s="15"/>
      <c r="J29" s="23"/>
      <c r="K29" s="50"/>
      <c r="L29" s="25"/>
      <c r="M29" s="29"/>
    </row>
    <row r="30" spans="1:14" ht="15.75" x14ac:dyDescent="0.25">
      <c r="A30" s="11"/>
      <c r="B30" s="3"/>
      <c r="C30" s="3"/>
      <c r="D30" s="3"/>
      <c r="E30" s="3"/>
      <c r="F30" s="3"/>
      <c r="G30" s="4"/>
      <c r="H30" s="13"/>
      <c r="I30" s="39"/>
      <c r="J30" s="41"/>
      <c r="K30" s="53"/>
      <c r="L30" s="26"/>
      <c r="M30" s="29"/>
    </row>
  </sheetData>
  <mergeCells count="2">
    <mergeCell ref="A1:G1"/>
    <mergeCell ref="H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zoomScale="85" zoomScaleNormal="85" workbookViewId="0">
      <selection activeCell="N19" sqref="N19"/>
    </sheetView>
  </sheetViews>
  <sheetFormatPr baseColWidth="10" defaultRowHeight="15" x14ac:dyDescent="0.25"/>
  <cols>
    <col min="1" max="1" width="10.85546875" bestFit="1" customWidth="1"/>
    <col min="2" max="2" width="9.42578125" bestFit="1" customWidth="1"/>
    <col min="3" max="3" width="6.5703125" bestFit="1" customWidth="1"/>
    <col min="4" max="4" width="7" bestFit="1" customWidth="1"/>
    <col min="5" max="5" width="49.140625" bestFit="1" customWidth="1"/>
    <col min="6" max="6" width="26.42578125" bestFit="1" customWidth="1"/>
    <col min="7" max="7" width="6.28515625" bestFit="1" customWidth="1"/>
    <col min="8" max="8" width="11.85546875" bestFit="1" customWidth="1"/>
    <col min="9" max="9" width="10.42578125" bestFit="1" customWidth="1"/>
    <col min="10" max="10" width="6.28515625" bestFit="1" customWidth="1"/>
    <col min="11" max="11" width="7.5703125" customWidth="1"/>
    <col min="12" max="12" width="10.28515625" customWidth="1"/>
    <col min="13" max="13" width="20.7109375" bestFit="1" customWidth="1"/>
  </cols>
  <sheetData>
    <row r="1" spans="1:14" ht="19.5" thickBot="1" x14ac:dyDescent="0.35">
      <c r="A1" s="75" t="s">
        <v>16</v>
      </c>
      <c r="B1" s="76"/>
      <c r="C1" s="76"/>
      <c r="D1" s="76"/>
      <c r="E1" s="76"/>
      <c r="F1" s="76"/>
      <c r="G1" s="77"/>
      <c r="H1" s="78" t="s">
        <v>17</v>
      </c>
      <c r="I1" s="79"/>
      <c r="J1" s="79"/>
      <c r="K1" s="79"/>
      <c r="L1" s="80"/>
      <c r="M1" s="28" t="s">
        <v>18</v>
      </c>
    </row>
    <row r="2" spans="1:14" ht="45" x14ac:dyDescent="0.25">
      <c r="A2" s="31" t="s">
        <v>1</v>
      </c>
      <c r="B2" s="32" t="s">
        <v>0</v>
      </c>
      <c r="C2" s="32" t="s">
        <v>10</v>
      </c>
      <c r="D2" s="49" t="s">
        <v>20</v>
      </c>
      <c r="E2" s="32" t="s">
        <v>2</v>
      </c>
      <c r="F2" s="32" t="s">
        <v>4</v>
      </c>
      <c r="G2" s="33" t="s">
        <v>3</v>
      </c>
      <c r="H2" s="35" t="s">
        <v>14</v>
      </c>
      <c r="I2" s="34" t="s">
        <v>19</v>
      </c>
      <c r="J2" s="36" t="s">
        <v>11</v>
      </c>
      <c r="K2" s="55" t="s">
        <v>20</v>
      </c>
      <c r="L2" s="37" t="s">
        <v>12</v>
      </c>
      <c r="M2" s="38" t="s">
        <v>13</v>
      </c>
    </row>
    <row r="3" spans="1:14" ht="15.75" x14ac:dyDescent="0.25">
      <c r="A3" s="8">
        <v>45966</v>
      </c>
      <c r="B3" s="6">
        <v>8249</v>
      </c>
      <c r="C3" s="6">
        <v>1995</v>
      </c>
      <c r="D3" s="6" t="s">
        <v>53</v>
      </c>
      <c r="E3" s="6" t="s">
        <v>170</v>
      </c>
      <c r="F3" s="6" t="s">
        <v>190</v>
      </c>
      <c r="G3" s="7" t="s">
        <v>6</v>
      </c>
      <c r="H3" s="22">
        <v>45821</v>
      </c>
      <c r="I3" s="15">
        <v>7783</v>
      </c>
      <c r="J3" s="23">
        <v>1604</v>
      </c>
      <c r="K3" s="50" t="s">
        <v>73</v>
      </c>
      <c r="L3" s="25">
        <f t="shared" ref="L3:L20" si="0">+(C3-J3)/(A3-H3)</f>
        <v>2.6965517241379309</v>
      </c>
      <c r="M3" s="29">
        <f t="shared" ref="M3:M20" si="1">+A3+(250/L3)</f>
        <v>46058.710997442453</v>
      </c>
      <c r="N3" s="69" t="s">
        <v>301</v>
      </c>
    </row>
    <row r="4" spans="1:14" ht="15.75" x14ac:dyDescent="0.25">
      <c r="A4" s="11">
        <v>45973</v>
      </c>
      <c r="B4" s="57">
        <v>8261</v>
      </c>
      <c r="C4" s="3">
        <v>1101</v>
      </c>
      <c r="D4" s="3" t="s">
        <v>50</v>
      </c>
      <c r="E4" s="3" t="s">
        <v>118</v>
      </c>
      <c r="F4" s="3" t="s">
        <v>119</v>
      </c>
      <c r="G4" s="4" t="s">
        <v>6</v>
      </c>
      <c r="H4" s="13">
        <v>45855</v>
      </c>
      <c r="I4" s="39">
        <v>7882</v>
      </c>
      <c r="J4" s="41">
        <v>612</v>
      </c>
      <c r="K4" s="53" t="s">
        <v>53</v>
      </c>
      <c r="L4" s="26">
        <f t="shared" si="0"/>
        <v>4.1440677966101696</v>
      </c>
      <c r="M4" s="29">
        <f t="shared" si="1"/>
        <v>46033.327198364008</v>
      </c>
      <c r="N4" s="69" t="s">
        <v>300</v>
      </c>
    </row>
    <row r="5" spans="1:14" ht="15.75" x14ac:dyDescent="0.25">
      <c r="A5" s="8">
        <v>45965</v>
      </c>
      <c r="B5" s="6">
        <v>8263</v>
      </c>
      <c r="C5" s="6">
        <v>1143</v>
      </c>
      <c r="D5" s="6" t="s">
        <v>56</v>
      </c>
      <c r="E5" s="6" t="s">
        <v>170</v>
      </c>
      <c r="F5" s="6" t="s">
        <v>263</v>
      </c>
      <c r="G5" s="7" t="s">
        <v>6</v>
      </c>
      <c r="H5" s="22">
        <v>45574</v>
      </c>
      <c r="I5" s="15">
        <v>6986</v>
      </c>
      <c r="J5" s="23">
        <v>837</v>
      </c>
      <c r="K5" s="50" t="s">
        <v>50</v>
      </c>
      <c r="L5" s="25">
        <f t="shared" si="0"/>
        <v>0.78260869565217395</v>
      </c>
      <c r="M5" s="29">
        <f t="shared" si="1"/>
        <v>46284.444444444445</v>
      </c>
      <c r="N5" s="69" t="s">
        <v>98</v>
      </c>
    </row>
    <row r="6" spans="1:14" ht="15.75" x14ac:dyDescent="0.25">
      <c r="A6" s="11">
        <v>45974</v>
      </c>
      <c r="B6" s="3">
        <v>8264</v>
      </c>
      <c r="C6" s="3">
        <v>6714</v>
      </c>
      <c r="D6" s="3" t="s">
        <v>73</v>
      </c>
      <c r="E6" s="3" t="s">
        <v>136</v>
      </c>
      <c r="F6" s="3" t="s">
        <v>137</v>
      </c>
      <c r="G6" s="4" t="s">
        <v>6</v>
      </c>
      <c r="H6" s="13" t="s">
        <v>90</v>
      </c>
      <c r="I6" s="12" t="s">
        <v>90</v>
      </c>
      <c r="J6" s="14" t="s">
        <v>90</v>
      </c>
      <c r="K6" s="51" t="s">
        <v>90</v>
      </c>
      <c r="L6" s="26" t="e">
        <f t="shared" si="0"/>
        <v>#VALUE!</v>
      </c>
      <c r="M6" s="29" t="e">
        <f t="shared" si="1"/>
        <v>#VALUE!</v>
      </c>
      <c r="N6" s="69"/>
    </row>
    <row r="7" spans="1:14" ht="15.75" x14ac:dyDescent="0.25">
      <c r="A7" s="8">
        <v>45966</v>
      </c>
      <c r="B7" s="6">
        <v>8265</v>
      </c>
      <c r="C7" s="42">
        <v>234</v>
      </c>
      <c r="D7" s="42" t="s">
        <v>73</v>
      </c>
      <c r="E7" s="6" t="s">
        <v>7</v>
      </c>
      <c r="F7" s="6" t="s">
        <v>264</v>
      </c>
      <c r="G7" s="7" t="s">
        <v>6</v>
      </c>
      <c r="H7" s="10">
        <v>45265</v>
      </c>
      <c r="I7" s="9">
        <v>6167</v>
      </c>
      <c r="J7" s="43">
        <v>109</v>
      </c>
      <c r="K7" s="52" t="s">
        <v>24</v>
      </c>
      <c r="L7" s="25">
        <f t="shared" si="0"/>
        <v>0.1783166904422254</v>
      </c>
      <c r="M7" s="29">
        <f t="shared" si="1"/>
        <v>47368</v>
      </c>
      <c r="N7" s="69" t="s">
        <v>98</v>
      </c>
    </row>
    <row r="8" spans="1:14" ht="15.75" x14ac:dyDescent="0.25">
      <c r="A8" s="11">
        <v>45974</v>
      </c>
      <c r="B8" s="3">
        <v>8280</v>
      </c>
      <c r="C8" s="44">
        <v>1204</v>
      </c>
      <c r="D8" s="44" t="s">
        <v>73</v>
      </c>
      <c r="E8" s="3" t="s">
        <v>185</v>
      </c>
      <c r="F8" s="3" t="s">
        <v>186</v>
      </c>
      <c r="G8" s="4" t="s">
        <v>6</v>
      </c>
      <c r="H8" s="40">
        <v>45813</v>
      </c>
      <c r="I8" s="39">
        <v>7763</v>
      </c>
      <c r="J8" s="41">
        <v>957</v>
      </c>
      <c r="K8" s="53" t="s">
        <v>56</v>
      </c>
      <c r="L8" s="26">
        <f t="shared" si="0"/>
        <v>1.5341614906832297</v>
      </c>
      <c r="M8" s="29">
        <f t="shared" si="1"/>
        <v>46136.955465587045</v>
      </c>
      <c r="N8" s="69" t="s">
        <v>98</v>
      </c>
    </row>
    <row r="9" spans="1:14" ht="15.75" x14ac:dyDescent="0.25">
      <c r="A9" s="8">
        <v>45965</v>
      </c>
      <c r="B9" s="6">
        <v>8282</v>
      </c>
      <c r="C9" s="6">
        <v>1281</v>
      </c>
      <c r="D9" s="6" t="s">
        <v>56</v>
      </c>
      <c r="E9" s="6" t="s">
        <v>7</v>
      </c>
      <c r="F9" s="6" t="s">
        <v>46</v>
      </c>
      <c r="G9" s="7" t="s">
        <v>6</v>
      </c>
      <c r="H9" s="22" t="s">
        <v>90</v>
      </c>
      <c r="I9" s="15" t="s">
        <v>90</v>
      </c>
      <c r="J9" s="23" t="s">
        <v>90</v>
      </c>
      <c r="K9" s="50" t="s">
        <v>90</v>
      </c>
      <c r="L9" s="25" t="e">
        <f t="shared" si="0"/>
        <v>#VALUE!</v>
      </c>
      <c r="M9" s="29" t="e">
        <f t="shared" si="1"/>
        <v>#VALUE!</v>
      </c>
      <c r="N9" s="69" t="s">
        <v>292</v>
      </c>
    </row>
    <row r="10" spans="1:14" ht="15.75" x14ac:dyDescent="0.25">
      <c r="A10" s="11">
        <v>45968</v>
      </c>
      <c r="B10" s="3">
        <v>8283</v>
      </c>
      <c r="C10" s="44">
        <v>2486</v>
      </c>
      <c r="D10" s="44" t="s">
        <v>56</v>
      </c>
      <c r="E10" s="3" t="s">
        <v>171</v>
      </c>
      <c r="F10" s="3" t="s">
        <v>172</v>
      </c>
      <c r="G10" s="4" t="s">
        <v>5</v>
      </c>
      <c r="H10" s="40">
        <v>45786</v>
      </c>
      <c r="I10" s="39">
        <v>7681</v>
      </c>
      <c r="J10" s="41">
        <v>2179</v>
      </c>
      <c r="K10" s="53" t="s">
        <v>50</v>
      </c>
      <c r="L10" s="26">
        <f t="shared" si="0"/>
        <v>1.6868131868131868</v>
      </c>
      <c r="M10" s="29">
        <f t="shared" si="1"/>
        <v>46116.208469055375</v>
      </c>
      <c r="N10" s="69" t="s">
        <v>98</v>
      </c>
    </row>
    <row r="11" spans="1:14" ht="15.75" x14ac:dyDescent="0.25">
      <c r="A11" s="8">
        <v>45968</v>
      </c>
      <c r="B11" s="6">
        <v>8297</v>
      </c>
      <c r="C11" s="45">
        <v>1674</v>
      </c>
      <c r="D11" s="45" t="s">
        <v>73</v>
      </c>
      <c r="E11" s="6" t="s">
        <v>265</v>
      </c>
      <c r="F11" s="6" t="s">
        <v>266</v>
      </c>
      <c r="G11" s="7" t="s">
        <v>6</v>
      </c>
      <c r="H11" s="22">
        <v>45566</v>
      </c>
      <c r="I11" s="15">
        <v>6954</v>
      </c>
      <c r="J11" s="23">
        <v>1316</v>
      </c>
      <c r="K11" s="50" t="s">
        <v>56</v>
      </c>
      <c r="L11" s="25">
        <f t="shared" si="0"/>
        <v>0.89054726368159209</v>
      </c>
      <c r="M11" s="29">
        <f t="shared" si="1"/>
        <v>46248.726256983238</v>
      </c>
      <c r="N11" s="69" t="s">
        <v>98</v>
      </c>
    </row>
    <row r="12" spans="1:14" ht="15.75" x14ac:dyDescent="0.25">
      <c r="A12" s="11">
        <v>45974</v>
      </c>
      <c r="B12" s="3">
        <v>8305</v>
      </c>
      <c r="C12" s="3">
        <v>2558</v>
      </c>
      <c r="D12" s="3" t="s">
        <v>56</v>
      </c>
      <c r="E12" s="3" t="s">
        <v>60</v>
      </c>
      <c r="F12" s="3" t="s">
        <v>61</v>
      </c>
      <c r="G12" s="4" t="s">
        <v>6</v>
      </c>
      <c r="H12" s="40">
        <v>45842</v>
      </c>
      <c r="I12" s="39">
        <v>7845</v>
      </c>
      <c r="J12" s="41">
        <v>2288</v>
      </c>
      <c r="K12" s="53" t="s">
        <v>50</v>
      </c>
      <c r="L12" s="26">
        <f t="shared" si="0"/>
        <v>2.0454545454545454</v>
      </c>
      <c r="M12" s="29">
        <f t="shared" si="1"/>
        <v>46096.222222222219</v>
      </c>
      <c r="N12" s="69" t="s">
        <v>98</v>
      </c>
    </row>
    <row r="13" spans="1:14" ht="15.75" x14ac:dyDescent="0.25">
      <c r="A13" s="8">
        <v>45973</v>
      </c>
      <c r="B13" s="6">
        <v>8307</v>
      </c>
      <c r="C13" s="6">
        <v>1449</v>
      </c>
      <c r="D13" s="6" t="s">
        <v>73</v>
      </c>
      <c r="E13" s="6" t="s">
        <v>267</v>
      </c>
      <c r="F13" s="6" t="s">
        <v>124</v>
      </c>
      <c r="G13" s="7" t="s">
        <v>6</v>
      </c>
      <c r="H13" s="10" t="s">
        <v>90</v>
      </c>
      <c r="I13" s="9" t="s">
        <v>90</v>
      </c>
      <c r="J13" s="5" t="s">
        <v>90</v>
      </c>
      <c r="K13" s="54" t="s">
        <v>90</v>
      </c>
      <c r="L13" s="25" t="e">
        <f t="shared" si="0"/>
        <v>#VALUE!</v>
      </c>
      <c r="M13" s="29" t="e">
        <f t="shared" si="1"/>
        <v>#VALUE!</v>
      </c>
      <c r="N13" s="69" t="s">
        <v>292</v>
      </c>
    </row>
    <row r="14" spans="1:14" ht="15.75" x14ac:dyDescent="0.25">
      <c r="A14" s="11">
        <v>45986</v>
      </c>
      <c r="B14" s="3">
        <v>8315</v>
      </c>
      <c r="C14" s="44">
        <v>440</v>
      </c>
      <c r="D14" s="44" t="s">
        <v>73</v>
      </c>
      <c r="E14" s="3" t="s">
        <v>193</v>
      </c>
      <c r="F14" s="3" t="s">
        <v>194</v>
      </c>
      <c r="G14" s="4" t="s">
        <v>6</v>
      </c>
      <c r="H14" s="40">
        <v>45832</v>
      </c>
      <c r="I14" s="39">
        <v>7794</v>
      </c>
      <c r="J14" s="41">
        <v>152</v>
      </c>
      <c r="K14" s="53" t="s">
        <v>24</v>
      </c>
      <c r="L14" s="26">
        <f t="shared" si="0"/>
        <v>1.8701298701298701</v>
      </c>
      <c r="M14" s="29">
        <f t="shared" si="1"/>
        <v>46119.680555555555</v>
      </c>
      <c r="N14" s="69" t="s">
        <v>98</v>
      </c>
    </row>
    <row r="15" spans="1:14" ht="15.75" x14ac:dyDescent="0.25">
      <c r="A15" s="8">
        <v>45981</v>
      </c>
      <c r="B15" s="6">
        <v>8322</v>
      </c>
      <c r="C15" s="6">
        <v>481</v>
      </c>
      <c r="D15" s="6" t="s">
        <v>53</v>
      </c>
      <c r="E15" s="6" t="s">
        <v>42</v>
      </c>
      <c r="F15" s="6" t="s">
        <v>43</v>
      </c>
      <c r="G15" s="7" t="s">
        <v>6</v>
      </c>
      <c r="H15" s="10">
        <v>45818</v>
      </c>
      <c r="I15" s="9">
        <v>7778</v>
      </c>
      <c r="J15" s="5">
        <v>261</v>
      </c>
      <c r="K15" s="54" t="s">
        <v>73</v>
      </c>
      <c r="L15" s="25">
        <f t="shared" si="0"/>
        <v>1.3496932515337423</v>
      </c>
      <c r="M15" s="29">
        <f>+A15+(250/L15)</f>
        <v>46166.227272727272</v>
      </c>
      <c r="N15" s="69" t="s">
        <v>98</v>
      </c>
    </row>
    <row r="16" spans="1:14" ht="15.75" x14ac:dyDescent="0.25">
      <c r="A16" s="11">
        <v>45975</v>
      </c>
      <c r="B16" s="3">
        <v>8327</v>
      </c>
      <c r="C16" s="3">
        <v>5148</v>
      </c>
      <c r="D16" s="3" t="s">
        <v>56</v>
      </c>
      <c r="E16" s="3" t="s">
        <v>171</v>
      </c>
      <c r="F16" s="3" t="s">
        <v>268</v>
      </c>
      <c r="G16" s="4" t="s">
        <v>5</v>
      </c>
      <c r="H16" s="13">
        <v>45611</v>
      </c>
      <c r="I16" s="12">
        <v>7093</v>
      </c>
      <c r="J16" s="14">
        <v>4504</v>
      </c>
      <c r="K16" s="51" t="s">
        <v>50</v>
      </c>
      <c r="L16" s="26">
        <f t="shared" si="0"/>
        <v>1.7692307692307692</v>
      </c>
      <c r="M16" s="29">
        <f t="shared" si="1"/>
        <v>46116.304347826088</v>
      </c>
      <c r="N16" s="69" t="s">
        <v>98</v>
      </c>
    </row>
    <row r="17" spans="1:14" ht="15.75" x14ac:dyDescent="0.25">
      <c r="A17" s="8">
        <v>45986</v>
      </c>
      <c r="B17" s="6">
        <v>8364</v>
      </c>
      <c r="C17" s="6">
        <v>13529</v>
      </c>
      <c r="D17" s="6" t="s">
        <v>73</v>
      </c>
      <c r="E17" s="6" t="s">
        <v>34</v>
      </c>
      <c r="F17" s="6" t="s">
        <v>269</v>
      </c>
      <c r="G17" s="7" t="s">
        <v>5</v>
      </c>
      <c r="H17" s="10">
        <v>45512</v>
      </c>
      <c r="I17" s="9">
        <v>6861</v>
      </c>
      <c r="J17" s="5">
        <v>13176</v>
      </c>
      <c r="K17" s="54" t="s">
        <v>56</v>
      </c>
      <c r="L17" s="25">
        <f t="shared" si="0"/>
        <v>0.74472573839662448</v>
      </c>
      <c r="M17" s="29">
        <f t="shared" si="1"/>
        <v>46321.6940509915</v>
      </c>
      <c r="N17" s="69" t="s">
        <v>98</v>
      </c>
    </row>
    <row r="18" spans="1:14" ht="15.75" x14ac:dyDescent="0.25">
      <c r="A18" s="11">
        <v>45989</v>
      </c>
      <c r="B18" s="3">
        <v>8365</v>
      </c>
      <c r="C18" s="3">
        <v>319</v>
      </c>
      <c r="D18" s="3" t="s">
        <v>73</v>
      </c>
      <c r="E18" s="3" t="s">
        <v>215</v>
      </c>
      <c r="F18" s="3" t="s">
        <v>216</v>
      </c>
      <c r="G18" s="4" t="s">
        <v>6</v>
      </c>
      <c r="H18" s="40">
        <v>45875</v>
      </c>
      <c r="I18" s="39">
        <v>7946</v>
      </c>
      <c r="J18" s="41">
        <v>176</v>
      </c>
      <c r="K18" s="53" t="s">
        <v>24</v>
      </c>
      <c r="L18" s="26">
        <f t="shared" si="0"/>
        <v>1.2543859649122806</v>
      </c>
      <c r="M18" s="29">
        <f t="shared" si="1"/>
        <v>46188.3006993007</v>
      </c>
      <c r="N18" s="69" t="s">
        <v>98</v>
      </c>
    </row>
    <row r="19" spans="1:14" ht="15.75" x14ac:dyDescent="0.25">
      <c r="A19" s="8"/>
      <c r="B19" s="6"/>
      <c r="C19" s="6"/>
      <c r="D19" s="6"/>
      <c r="E19" s="6"/>
      <c r="F19" s="6"/>
      <c r="G19" s="7"/>
      <c r="H19" s="10"/>
      <c r="I19" s="9"/>
      <c r="J19" s="5"/>
      <c r="K19" s="54"/>
      <c r="L19" s="25" t="e">
        <f t="shared" si="0"/>
        <v>#DIV/0!</v>
      </c>
      <c r="M19" s="29" t="e">
        <f t="shared" si="1"/>
        <v>#DIV/0!</v>
      </c>
      <c r="N19" s="69"/>
    </row>
    <row r="20" spans="1:14" ht="15.75" x14ac:dyDescent="0.25">
      <c r="A20" s="11"/>
      <c r="B20" s="3"/>
      <c r="C20" s="3"/>
      <c r="D20" s="3"/>
      <c r="E20" s="3"/>
      <c r="F20" s="3"/>
      <c r="G20" s="4"/>
      <c r="H20" s="40"/>
      <c r="I20" s="39"/>
      <c r="J20" s="41"/>
      <c r="K20" s="53"/>
      <c r="L20" s="26" t="e">
        <f t="shared" si="0"/>
        <v>#DIV/0!</v>
      </c>
      <c r="M20" s="29" t="e">
        <f t="shared" si="1"/>
        <v>#DIV/0!</v>
      </c>
      <c r="N20" s="69"/>
    </row>
    <row r="21" spans="1:14" ht="15.75" x14ac:dyDescent="0.25">
      <c r="A21" s="8"/>
      <c r="B21" s="6"/>
      <c r="C21" s="6"/>
      <c r="D21" s="6"/>
      <c r="E21" s="6"/>
      <c r="F21" s="6"/>
      <c r="G21" s="7"/>
      <c r="H21" s="10"/>
      <c r="I21" s="9"/>
      <c r="J21" s="5"/>
      <c r="K21" s="54"/>
      <c r="L21" s="25" t="e">
        <f t="shared" ref="L21:L26" si="2">+(C21-J21)/(A21-H21)</f>
        <v>#DIV/0!</v>
      </c>
      <c r="M21" s="29" t="e">
        <f t="shared" ref="M21:M26" si="3">+A21+(250/L21)</f>
        <v>#DIV/0!</v>
      </c>
      <c r="N21" s="69"/>
    </row>
    <row r="22" spans="1:14" ht="15.75" x14ac:dyDescent="0.25">
      <c r="A22" s="11"/>
      <c r="B22" s="3"/>
      <c r="C22" s="3"/>
      <c r="D22" s="3"/>
      <c r="E22" s="3"/>
      <c r="F22" s="3"/>
      <c r="G22" s="4"/>
      <c r="H22" s="40"/>
      <c r="I22" s="39"/>
      <c r="J22" s="41"/>
      <c r="K22" s="53"/>
      <c r="L22" s="26" t="e">
        <f t="shared" si="2"/>
        <v>#DIV/0!</v>
      </c>
      <c r="M22" s="29" t="e">
        <f t="shared" si="3"/>
        <v>#DIV/0!</v>
      </c>
      <c r="N22" s="69"/>
    </row>
    <row r="23" spans="1:14" ht="15.75" x14ac:dyDescent="0.25">
      <c r="A23" s="8"/>
      <c r="B23" s="6"/>
      <c r="C23" s="6"/>
      <c r="D23" s="6"/>
      <c r="E23" s="6"/>
      <c r="F23" s="6"/>
      <c r="G23" s="7"/>
      <c r="H23" s="10"/>
      <c r="I23" s="9"/>
      <c r="J23" s="5"/>
      <c r="K23" s="54"/>
      <c r="L23" s="25" t="e">
        <f t="shared" si="2"/>
        <v>#DIV/0!</v>
      </c>
      <c r="M23" s="29" t="e">
        <f t="shared" si="3"/>
        <v>#DIV/0!</v>
      </c>
      <c r="N23" s="69"/>
    </row>
    <row r="24" spans="1:14" ht="15.75" x14ac:dyDescent="0.25">
      <c r="A24" s="11"/>
      <c r="B24" s="3"/>
      <c r="C24" s="3"/>
      <c r="D24" s="3"/>
      <c r="E24" s="3"/>
      <c r="F24" s="3"/>
      <c r="G24" s="4"/>
      <c r="H24" s="40"/>
      <c r="I24" s="39"/>
      <c r="J24" s="41"/>
      <c r="K24" s="53"/>
      <c r="L24" s="26" t="e">
        <f t="shared" si="2"/>
        <v>#DIV/0!</v>
      </c>
      <c r="M24" s="29" t="e">
        <f t="shared" si="3"/>
        <v>#DIV/0!</v>
      </c>
      <c r="N24" s="69"/>
    </row>
    <row r="25" spans="1:14" ht="15.75" x14ac:dyDescent="0.25">
      <c r="A25" s="8"/>
      <c r="B25" s="6"/>
      <c r="C25" s="6"/>
      <c r="D25" s="6"/>
      <c r="E25" s="6"/>
      <c r="F25" s="6"/>
      <c r="G25" s="7"/>
      <c r="H25" s="10"/>
      <c r="I25" s="9"/>
      <c r="J25" s="5"/>
      <c r="K25" s="54"/>
      <c r="L25" s="25" t="e">
        <f t="shared" si="2"/>
        <v>#DIV/0!</v>
      </c>
      <c r="M25" s="29" t="e">
        <f t="shared" si="3"/>
        <v>#DIV/0!</v>
      </c>
      <c r="N25" s="69"/>
    </row>
    <row r="26" spans="1:14" ht="15.75" x14ac:dyDescent="0.25">
      <c r="A26" s="11"/>
      <c r="B26" s="3"/>
      <c r="C26" s="3"/>
      <c r="D26" s="3"/>
      <c r="E26" s="3"/>
      <c r="F26" s="3"/>
      <c r="G26" s="4"/>
      <c r="H26" s="40"/>
      <c r="I26" s="39"/>
      <c r="J26" s="41"/>
      <c r="K26" s="53"/>
      <c r="L26" s="26" t="e">
        <f t="shared" si="2"/>
        <v>#DIV/0!</v>
      </c>
      <c r="M26" s="29" t="e">
        <f t="shared" si="3"/>
        <v>#DIV/0!</v>
      </c>
      <c r="N26" s="69"/>
    </row>
    <row r="27" spans="1:14" ht="15.75" x14ac:dyDescent="0.25">
      <c r="A27" s="8"/>
      <c r="B27" s="6"/>
      <c r="C27" s="6"/>
      <c r="D27" s="6"/>
      <c r="E27" s="6"/>
      <c r="F27" s="6"/>
      <c r="G27" s="7"/>
      <c r="H27" s="10"/>
      <c r="I27" s="9"/>
      <c r="J27" s="5"/>
      <c r="K27" s="54"/>
      <c r="L27" s="25"/>
      <c r="M27" s="29"/>
      <c r="N27" s="69"/>
    </row>
    <row r="28" spans="1:14" ht="15.75" x14ac:dyDescent="0.25">
      <c r="A28" s="11"/>
      <c r="B28" s="3"/>
      <c r="C28" s="3"/>
      <c r="D28" s="3"/>
      <c r="E28" s="3"/>
      <c r="F28" s="3"/>
      <c r="G28" s="4"/>
      <c r="H28" s="40"/>
      <c r="I28" s="39"/>
      <c r="J28" s="41"/>
      <c r="K28" s="53"/>
      <c r="L28" s="26"/>
      <c r="M28" s="29"/>
      <c r="N28" s="69"/>
    </row>
    <row r="29" spans="1:14" ht="15.75" x14ac:dyDescent="0.25">
      <c r="A29" s="8"/>
      <c r="B29" s="6"/>
      <c r="C29" s="6"/>
      <c r="D29" s="6"/>
      <c r="E29" s="6"/>
      <c r="F29" s="6"/>
      <c r="G29" s="7"/>
      <c r="H29" s="10"/>
      <c r="I29" s="9"/>
      <c r="J29" s="5"/>
      <c r="K29" s="54"/>
      <c r="L29" s="25"/>
      <c r="M29" s="29"/>
      <c r="N29" s="69"/>
    </row>
  </sheetData>
  <mergeCells count="2">
    <mergeCell ref="A1:G1"/>
    <mergeCell ref="H1:L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topLeftCell="A10" zoomScale="85" zoomScaleNormal="85" workbookViewId="0">
      <selection activeCell="N34" sqref="N34"/>
    </sheetView>
  </sheetViews>
  <sheetFormatPr baseColWidth="10" defaultRowHeight="15" x14ac:dyDescent="0.25"/>
  <cols>
    <col min="2" max="2" width="8.28515625" customWidth="1"/>
    <col min="3" max="3" width="6.5703125" bestFit="1" customWidth="1"/>
    <col min="4" max="4" width="7" bestFit="1" customWidth="1"/>
    <col min="5" max="5" width="34.140625" customWidth="1"/>
    <col min="6" max="6" width="25.42578125" bestFit="1" customWidth="1"/>
    <col min="7" max="7" width="6.28515625" bestFit="1" customWidth="1"/>
    <col min="8" max="8" width="12.42578125" customWidth="1"/>
    <col min="9" max="9" width="8.42578125" customWidth="1"/>
    <col min="10" max="10" width="7.85546875" customWidth="1"/>
    <col min="13" max="13" width="14.85546875" customWidth="1"/>
  </cols>
  <sheetData>
    <row r="1" spans="1:14" ht="19.5" thickBot="1" x14ac:dyDescent="0.35">
      <c r="A1" s="75" t="s">
        <v>16</v>
      </c>
      <c r="B1" s="76"/>
      <c r="C1" s="76"/>
      <c r="D1" s="76"/>
      <c r="E1" s="76"/>
      <c r="F1" s="76"/>
      <c r="G1" s="77"/>
      <c r="H1" s="78" t="s">
        <v>17</v>
      </c>
      <c r="I1" s="79"/>
      <c r="J1" s="79"/>
      <c r="K1" s="79"/>
      <c r="L1" s="80"/>
      <c r="M1" s="59" t="s">
        <v>18</v>
      </c>
    </row>
    <row r="2" spans="1:14" ht="60" x14ac:dyDescent="0.25">
      <c r="A2" s="31" t="s">
        <v>1</v>
      </c>
      <c r="B2" s="49" t="s">
        <v>0</v>
      </c>
      <c r="C2" s="32" t="s">
        <v>10</v>
      </c>
      <c r="D2" s="49" t="s">
        <v>20</v>
      </c>
      <c r="E2" s="32" t="s">
        <v>2</v>
      </c>
      <c r="F2" s="32" t="s">
        <v>4</v>
      </c>
      <c r="G2" s="33" t="s">
        <v>3</v>
      </c>
      <c r="H2" s="35" t="s">
        <v>14</v>
      </c>
      <c r="I2" s="58" t="s">
        <v>19</v>
      </c>
      <c r="J2" s="36" t="s">
        <v>11</v>
      </c>
      <c r="K2" s="55" t="s">
        <v>20</v>
      </c>
      <c r="L2" s="37" t="s">
        <v>12</v>
      </c>
      <c r="M2" s="38" t="s">
        <v>13</v>
      </c>
    </row>
    <row r="3" spans="1:14" ht="15.75" x14ac:dyDescent="0.25">
      <c r="A3" s="8">
        <v>45996</v>
      </c>
      <c r="B3" s="6">
        <v>8251</v>
      </c>
      <c r="C3" s="6">
        <v>2231</v>
      </c>
      <c r="D3" s="6" t="s">
        <v>53</v>
      </c>
      <c r="E3" s="6" t="s">
        <v>270</v>
      </c>
      <c r="F3" s="6" t="s">
        <v>271</v>
      </c>
      <c r="G3" s="7" t="s">
        <v>6</v>
      </c>
      <c r="H3" s="22">
        <v>45636</v>
      </c>
      <c r="I3" s="15">
        <v>7200</v>
      </c>
      <c r="J3" s="23">
        <v>1979</v>
      </c>
      <c r="K3" s="50" t="s">
        <v>73</v>
      </c>
      <c r="L3" s="25">
        <f t="shared" ref="L3:L33" si="0">+(C3-J3)/(A3-H3)</f>
        <v>0.7</v>
      </c>
      <c r="M3" s="29">
        <f>+A3+(250/L3)</f>
        <v>46353.142857142855</v>
      </c>
      <c r="N3" s="69" t="s">
        <v>98</v>
      </c>
    </row>
    <row r="4" spans="1:14" ht="15.75" x14ac:dyDescent="0.25">
      <c r="A4" s="11">
        <v>45992</v>
      </c>
      <c r="B4" s="57">
        <v>8336</v>
      </c>
      <c r="C4" s="3">
        <v>380</v>
      </c>
      <c r="D4" s="3" t="s">
        <v>73</v>
      </c>
      <c r="E4" s="3" t="s">
        <v>238</v>
      </c>
      <c r="F4" s="3" t="s">
        <v>239</v>
      </c>
      <c r="G4" s="4" t="s">
        <v>6</v>
      </c>
      <c r="H4" s="13">
        <v>45926</v>
      </c>
      <c r="I4" s="39">
        <v>8109</v>
      </c>
      <c r="J4" s="41">
        <v>102</v>
      </c>
      <c r="K4" s="53" t="s">
        <v>284</v>
      </c>
      <c r="L4" s="26">
        <f t="shared" si="0"/>
        <v>4.2121212121212119</v>
      </c>
      <c r="M4" s="29">
        <f t="shared" ref="M4:M33" si="1">+A4+(250/L4)</f>
        <v>46051.352517985615</v>
      </c>
      <c r="N4" s="69" t="s">
        <v>302</v>
      </c>
    </row>
    <row r="5" spans="1:14" ht="15.75" x14ac:dyDescent="0.25">
      <c r="A5" s="8">
        <v>45994</v>
      </c>
      <c r="B5" s="68">
        <v>8337</v>
      </c>
      <c r="C5" s="6">
        <v>9025</v>
      </c>
      <c r="D5" s="6" t="s">
        <v>50</v>
      </c>
      <c r="E5" s="6" t="s">
        <v>68</v>
      </c>
      <c r="F5" s="6" t="s">
        <v>70</v>
      </c>
      <c r="G5" s="7" t="s">
        <v>6</v>
      </c>
      <c r="H5" s="22">
        <v>45860</v>
      </c>
      <c r="I5" s="15">
        <v>7895</v>
      </c>
      <c r="J5" s="23">
        <v>8325</v>
      </c>
      <c r="K5" s="50" t="s">
        <v>73</v>
      </c>
      <c r="L5" s="25">
        <f t="shared" si="0"/>
        <v>5.2238805970149258</v>
      </c>
      <c r="M5" s="29">
        <f t="shared" si="1"/>
        <v>46041.857142857145</v>
      </c>
      <c r="N5" s="69" t="s">
        <v>303</v>
      </c>
    </row>
    <row r="6" spans="1:14" ht="15.75" x14ac:dyDescent="0.25">
      <c r="A6" s="11">
        <v>45994</v>
      </c>
      <c r="B6" s="3">
        <v>8338</v>
      </c>
      <c r="C6" s="3">
        <v>2107</v>
      </c>
      <c r="D6" s="3" t="s">
        <v>53</v>
      </c>
      <c r="E6" s="3" t="s">
        <v>68</v>
      </c>
      <c r="F6" s="3" t="s">
        <v>69</v>
      </c>
      <c r="G6" s="4" t="s">
        <v>6</v>
      </c>
      <c r="H6" s="13">
        <v>45860</v>
      </c>
      <c r="I6" s="12">
        <v>7894</v>
      </c>
      <c r="J6" s="14">
        <v>1587</v>
      </c>
      <c r="K6" s="51" t="s">
        <v>73</v>
      </c>
      <c r="L6" s="26">
        <f t="shared" si="0"/>
        <v>3.8805970149253732</v>
      </c>
      <c r="M6" s="29">
        <f t="shared" si="1"/>
        <v>46058.423076923078</v>
      </c>
      <c r="N6" s="69" t="s">
        <v>303</v>
      </c>
    </row>
    <row r="7" spans="1:14" ht="15.75" x14ac:dyDescent="0.25">
      <c r="A7" s="8">
        <v>45994</v>
      </c>
      <c r="B7" s="6">
        <v>8339</v>
      </c>
      <c r="C7" s="42">
        <v>11562</v>
      </c>
      <c r="D7" s="42" t="s">
        <v>73</v>
      </c>
      <c r="E7" s="6" t="s">
        <v>68</v>
      </c>
      <c r="F7" s="6" t="s">
        <v>141</v>
      </c>
      <c r="G7" s="7" t="s">
        <v>6</v>
      </c>
      <c r="H7" s="10">
        <v>45860</v>
      </c>
      <c r="I7" s="9">
        <v>7896</v>
      </c>
      <c r="J7" s="43">
        <v>10974</v>
      </c>
      <c r="K7" s="52" t="s">
        <v>73</v>
      </c>
      <c r="L7" s="25">
        <f t="shared" si="0"/>
        <v>4.3880597014925371</v>
      </c>
      <c r="M7" s="29">
        <f t="shared" si="1"/>
        <v>46050.972789115644</v>
      </c>
      <c r="N7" s="69" t="s">
        <v>303</v>
      </c>
    </row>
    <row r="8" spans="1:14" ht="15.75" x14ac:dyDescent="0.25">
      <c r="A8" s="11">
        <v>45992</v>
      </c>
      <c r="B8" s="3">
        <v>8344</v>
      </c>
      <c r="C8" s="44">
        <v>296</v>
      </c>
      <c r="D8" s="44"/>
      <c r="E8" s="3" t="s">
        <v>58</v>
      </c>
      <c r="F8" s="3" t="s">
        <v>59</v>
      </c>
      <c r="G8" s="4" t="s">
        <v>6</v>
      </c>
      <c r="H8" s="40"/>
      <c r="I8" s="39"/>
      <c r="J8" s="41"/>
      <c r="K8" s="53"/>
      <c r="L8" s="26">
        <f t="shared" si="0"/>
        <v>6.4359018959819101E-3</v>
      </c>
      <c r="M8" s="29">
        <f t="shared" si="1"/>
        <v>84836.594594594586</v>
      </c>
      <c r="N8" s="69" t="s">
        <v>303</v>
      </c>
    </row>
    <row r="9" spans="1:14" ht="15.75" x14ac:dyDescent="0.25">
      <c r="A9" s="8">
        <v>45995</v>
      </c>
      <c r="B9" s="6">
        <v>8349</v>
      </c>
      <c r="C9" s="6">
        <v>1747</v>
      </c>
      <c r="D9" s="6" t="s">
        <v>53</v>
      </c>
      <c r="E9" s="6" t="s">
        <v>29</v>
      </c>
      <c r="F9" s="6" t="s">
        <v>30</v>
      </c>
      <c r="G9" s="7" t="s">
        <v>6</v>
      </c>
      <c r="H9" s="22">
        <v>45890</v>
      </c>
      <c r="I9" s="15">
        <v>8010</v>
      </c>
      <c r="J9" s="23">
        <v>1477</v>
      </c>
      <c r="K9" s="50" t="s">
        <v>73</v>
      </c>
      <c r="L9" s="25">
        <f t="shared" si="0"/>
        <v>2.5714285714285716</v>
      </c>
      <c r="M9" s="29">
        <f t="shared" si="1"/>
        <v>46092.222222222219</v>
      </c>
      <c r="N9" s="69" t="s">
        <v>98</v>
      </c>
    </row>
    <row r="10" spans="1:14" ht="15.75" x14ac:dyDescent="0.25">
      <c r="A10" s="11">
        <v>45995</v>
      </c>
      <c r="B10" s="57">
        <v>8350</v>
      </c>
      <c r="C10" s="44">
        <v>109</v>
      </c>
      <c r="D10" s="3" t="s">
        <v>24</v>
      </c>
      <c r="E10" s="3" t="s">
        <v>272</v>
      </c>
      <c r="F10" s="3" t="s">
        <v>273</v>
      </c>
      <c r="G10" s="4" t="s">
        <v>6</v>
      </c>
      <c r="H10" s="40">
        <v>45931</v>
      </c>
      <c r="I10" s="39">
        <v>8127</v>
      </c>
      <c r="J10" s="41">
        <v>44</v>
      </c>
      <c r="K10" s="53"/>
      <c r="L10" s="26">
        <f t="shared" si="0"/>
        <v>1.015625</v>
      </c>
      <c r="M10" s="29">
        <f>+A10+(150/L10)</f>
        <v>46142.692307692305</v>
      </c>
      <c r="N10" s="69" t="s">
        <v>98</v>
      </c>
    </row>
    <row r="11" spans="1:14" ht="15.75" x14ac:dyDescent="0.25">
      <c r="A11" s="8">
        <v>45992</v>
      </c>
      <c r="B11" s="6">
        <v>8351</v>
      </c>
      <c r="C11" s="45">
        <v>255</v>
      </c>
      <c r="D11" s="45" t="s">
        <v>73</v>
      </c>
      <c r="E11" s="6" t="s">
        <v>175</v>
      </c>
      <c r="F11" s="6" t="s">
        <v>176</v>
      </c>
      <c r="G11" s="7" t="s">
        <v>6</v>
      </c>
      <c r="H11" s="22">
        <v>45796</v>
      </c>
      <c r="I11" s="15">
        <v>7714</v>
      </c>
      <c r="J11" s="23">
        <v>104</v>
      </c>
      <c r="K11" s="50" t="s">
        <v>24</v>
      </c>
      <c r="L11" s="25">
        <f t="shared" si="0"/>
        <v>0.77040816326530615</v>
      </c>
      <c r="M11" s="29">
        <f t="shared" si="1"/>
        <v>46316.503311258275</v>
      </c>
      <c r="N11" s="69" t="s">
        <v>98</v>
      </c>
    </row>
    <row r="12" spans="1:14" ht="15.75" x14ac:dyDescent="0.25">
      <c r="A12" s="11">
        <v>45994</v>
      </c>
      <c r="B12" s="3">
        <v>8376</v>
      </c>
      <c r="C12" s="3">
        <v>4997</v>
      </c>
      <c r="D12" s="3" t="s">
        <v>50</v>
      </c>
      <c r="E12" s="3" t="s">
        <v>9</v>
      </c>
      <c r="F12" s="3" t="s">
        <v>65</v>
      </c>
      <c r="G12" s="4" t="s">
        <v>6</v>
      </c>
      <c r="H12" s="40">
        <v>45695</v>
      </c>
      <c r="I12" s="39">
        <v>7358</v>
      </c>
      <c r="J12" s="41">
        <v>4695</v>
      </c>
      <c r="K12" s="53" t="s">
        <v>33</v>
      </c>
      <c r="L12" s="26">
        <f t="shared" si="0"/>
        <v>1.0100334448160535</v>
      </c>
      <c r="M12" s="29">
        <f t="shared" si="1"/>
        <v>46241.51655629139</v>
      </c>
      <c r="N12" s="69" t="s">
        <v>98</v>
      </c>
    </row>
    <row r="13" spans="1:14" ht="15.75" x14ac:dyDescent="0.25">
      <c r="A13" s="8">
        <v>46003</v>
      </c>
      <c r="B13" s="6">
        <v>8379</v>
      </c>
      <c r="C13" s="6">
        <v>9604</v>
      </c>
      <c r="D13" s="6" t="s">
        <v>50</v>
      </c>
      <c r="E13" s="6" t="s">
        <v>85</v>
      </c>
      <c r="F13" s="6" t="s">
        <v>204</v>
      </c>
      <c r="G13" s="7" t="s">
        <v>6</v>
      </c>
      <c r="H13" s="10">
        <v>45863</v>
      </c>
      <c r="I13" s="9">
        <v>7908</v>
      </c>
      <c r="J13" s="5">
        <v>8970</v>
      </c>
      <c r="K13" s="54" t="s">
        <v>285</v>
      </c>
      <c r="L13" s="25">
        <f t="shared" si="0"/>
        <v>4.5285714285714285</v>
      </c>
      <c r="M13" s="29">
        <f t="shared" si="1"/>
        <v>46058.20504731861</v>
      </c>
      <c r="N13" s="69"/>
    </row>
    <row r="14" spans="1:14" ht="15.75" x14ac:dyDescent="0.25">
      <c r="A14" s="11">
        <v>45993</v>
      </c>
      <c r="B14" s="3">
        <v>8381</v>
      </c>
      <c r="C14" s="44">
        <v>3227</v>
      </c>
      <c r="D14" s="44" t="s">
        <v>56</v>
      </c>
      <c r="E14" s="3" t="s">
        <v>85</v>
      </c>
      <c r="F14" s="3" t="s">
        <v>86</v>
      </c>
      <c r="G14" s="4" t="s">
        <v>6</v>
      </c>
      <c r="H14" s="40">
        <v>45863</v>
      </c>
      <c r="I14" s="39">
        <v>7907</v>
      </c>
      <c r="J14" s="41">
        <v>2894</v>
      </c>
      <c r="K14" s="53" t="s">
        <v>286</v>
      </c>
      <c r="L14" s="26">
        <f t="shared" si="0"/>
        <v>2.5615384615384613</v>
      </c>
      <c r="M14" s="29">
        <f t="shared" si="1"/>
        <v>46090.597597597596</v>
      </c>
      <c r="N14" s="69"/>
    </row>
    <row r="15" spans="1:14" ht="15.75" x14ac:dyDescent="0.25">
      <c r="A15" s="8">
        <v>45996</v>
      </c>
      <c r="B15" s="6">
        <v>8384</v>
      </c>
      <c r="C15" s="6">
        <v>10245</v>
      </c>
      <c r="D15" s="6" t="s">
        <v>50</v>
      </c>
      <c r="E15" s="6" t="s">
        <v>274</v>
      </c>
      <c r="F15" s="6" t="s">
        <v>54</v>
      </c>
      <c r="G15" s="7" t="s">
        <v>6</v>
      </c>
      <c r="H15" s="10">
        <v>45820</v>
      </c>
      <c r="I15" s="9">
        <v>7785</v>
      </c>
      <c r="J15" s="5">
        <v>9464</v>
      </c>
      <c r="K15" s="54" t="s">
        <v>56</v>
      </c>
      <c r="L15" s="25">
        <f t="shared" si="0"/>
        <v>4.4375</v>
      </c>
      <c r="M15" s="29">
        <f>+A15+(200/L15)</f>
        <v>46041.070422535209</v>
      </c>
      <c r="N15" s="69" t="s">
        <v>304</v>
      </c>
    </row>
    <row r="16" spans="1:14" ht="15.75" x14ac:dyDescent="0.25">
      <c r="A16" s="11">
        <v>46000</v>
      </c>
      <c r="B16" s="3">
        <v>8385</v>
      </c>
      <c r="C16" s="44">
        <v>11436</v>
      </c>
      <c r="D16" s="44" t="s">
        <v>56</v>
      </c>
      <c r="E16" s="3" t="s">
        <v>274</v>
      </c>
      <c r="F16" s="3" t="s">
        <v>99</v>
      </c>
      <c r="G16" s="4" t="s">
        <v>6</v>
      </c>
      <c r="H16" s="40">
        <v>45931</v>
      </c>
      <c r="I16" s="39">
        <v>8142</v>
      </c>
      <c r="J16" s="41">
        <v>10967</v>
      </c>
      <c r="K16" s="53" t="s">
        <v>53</v>
      </c>
      <c r="L16" s="26">
        <f t="shared" si="0"/>
        <v>6.7971014492753623</v>
      </c>
      <c r="M16" s="29">
        <f t="shared" si="1"/>
        <v>46036.780383795311</v>
      </c>
      <c r="N16" s="69"/>
    </row>
    <row r="17" spans="1:14" ht="15.75" x14ac:dyDescent="0.25">
      <c r="A17" s="8">
        <v>45995</v>
      </c>
      <c r="B17" s="6">
        <v>8386</v>
      </c>
      <c r="C17" s="6">
        <v>101</v>
      </c>
      <c r="D17" s="6" t="s">
        <v>24</v>
      </c>
      <c r="E17" s="6" t="s">
        <v>275</v>
      </c>
      <c r="F17" s="6" t="s">
        <v>276</v>
      </c>
      <c r="G17" s="7" t="s">
        <v>6</v>
      </c>
      <c r="H17" s="10">
        <v>45831</v>
      </c>
      <c r="I17" s="9">
        <v>7801</v>
      </c>
      <c r="J17" s="5">
        <v>2</v>
      </c>
      <c r="K17" s="54" t="s">
        <v>90</v>
      </c>
      <c r="L17" s="25">
        <f t="shared" si="0"/>
        <v>0.60365853658536583</v>
      </c>
      <c r="M17" s="29">
        <f>+A17+(150/L17)</f>
        <v>46243.484848484848</v>
      </c>
      <c r="N17" s="69" t="s">
        <v>305</v>
      </c>
    </row>
    <row r="18" spans="1:14" ht="15.75" x14ac:dyDescent="0.25">
      <c r="A18" s="11">
        <v>45996</v>
      </c>
      <c r="B18" s="3">
        <v>8391</v>
      </c>
      <c r="C18" s="44">
        <v>9054</v>
      </c>
      <c r="D18" s="44" t="s">
        <v>50</v>
      </c>
      <c r="E18" s="3" t="s">
        <v>274</v>
      </c>
      <c r="F18" s="3" t="s">
        <v>55</v>
      </c>
      <c r="G18" s="4" t="s">
        <v>6</v>
      </c>
      <c r="H18" s="40">
        <v>45876</v>
      </c>
      <c r="I18" s="39">
        <v>7959</v>
      </c>
      <c r="J18" s="41">
        <v>8261</v>
      </c>
      <c r="K18" s="53" t="s">
        <v>56</v>
      </c>
      <c r="L18" s="26">
        <f t="shared" si="0"/>
        <v>6.6083333333333334</v>
      </c>
      <c r="M18" s="29">
        <f t="shared" si="1"/>
        <v>46033.831021437582</v>
      </c>
      <c r="N18" s="69"/>
    </row>
    <row r="19" spans="1:14" ht="15.75" x14ac:dyDescent="0.25">
      <c r="A19" s="8">
        <v>46003</v>
      </c>
      <c r="B19" s="6">
        <v>8392</v>
      </c>
      <c r="C19" s="6">
        <v>7067</v>
      </c>
      <c r="D19" s="6" t="s">
        <v>56</v>
      </c>
      <c r="E19" s="6" t="s">
        <v>274</v>
      </c>
      <c r="F19" s="6" t="s">
        <v>138</v>
      </c>
      <c r="G19" s="7" t="s">
        <v>6</v>
      </c>
      <c r="H19" s="10">
        <v>45877</v>
      </c>
      <c r="I19" s="9">
        <v>7961</v>
      </c>
      <c r="J19" s="5">
        <v>6346</v>
      </c>
      <c r="K19" s="54" t="s">
        <v>50</v>
      </c>
      <c r="L19" s="25">
        <f t="shared" si="0"/>
        <v>5.7222222222222223</v>
      </c>
      <c r="M19" s="29">
        <f t="shared" si="1"/>
        <v>46046.689320388352</v>
      </c>
      <c r="N19" s="69"/>
    </row>
    <row r="20" spans="1:14" ht="15.75" x14ac:dyDescent="0.25">
      <c r="A20" s="11">
        <v>46006</v>
      </c>
      <c r="B20" s="3">
        <v>8393</v>
      </c>
      <c r="C20" s="44">
        <v>115</v>
      </c>
      <c r="D20" s="44" t="s">
        <v>24</v>
      </c>
      <c r="E20" s="3" t="s">
        <v>277</v>
      </c>
      <c r="F20" s="3" t="s">
        <v>278</v>
      </c>
      <c r="G20" s="4" t="s">
        <v>6</v>
      </c>
      <c r="H20" s="40">
        <v>45936</v>
      </c>
      <c r="I20" s="39">
        <v>8151</v>
      </c>
      <c r="J20" s="41">
        <v>2</v>
      </c>
      <c r="K20" s="53" t="s">
        <v>90</v>
      </c>
      <c r="L20" s="26">
        <f t="shared" si="0"/>
        <v>1.6142857142857143</v>
      </c>
      <c r="M20" s="29">
        <f>+A20+(150/L20)</f>
        <v>46098.920353982299</v>
      </c>
      <c r="N20" s="69" t="s">
        <v>98</v>
      </c>
    </row>
    <row r="21" spans="1:14" ht="15.75" x14ac:dyDescent="0.25">
      <c r="A21" s="8">
        <v>46000</v>
      </c>
      <c r="B21" s="6">
        <v>8398</v>
      </c>
      <c r="C21" s="6">
        <v>841</v>
      </c>
      <c r="D21" s="6" t="s">
        <v>50</v>
      </c>
      <c r="E21" s="6" t="s">
        <v>92</v>
      </c>
      <c r="F21" s="6" t="s">
        <v>93</v>
      </c>
      <c r="G21" s="7" t="s">
        <v>6</v>
      </c>
      <c r="H21" s="10">
        <v>45903</v>
      </c>
      <c r="I21" s="9">
        <v>8042</v>
      </c>
      <c r="J21" s="5">
        <v>559</v>
      </c>
      <c r="K21" s="54" t="s">
        <v>53</v>
      </c>
      <c r="L21" s="25">
        <f t="shared" si="0"/>
        <v>2.9072164948453607</v>
      </c>
      <c r="M21" s="29">
        <f t="shared" si="1"/>
        <v>46085.992907801417</v>
      </c>
      <c r="N21" s="69" t="s">
        <v>98</v>
      </c>
    </row>
    <row r="22" spans="1:14" ht="15.75" x14ac:dyDescent="0.25">
      <c r="A22" s="11">
        <v>46000</v>
      </c>
      <c r="B22" s="3">
        <v>8401</v>
      </c>
      <c r="C22" s="44">
        <v>1403</v>
      </c>
      <c r="D22" s="44" t="s">
        <v>73</v>
      </c>
      <c r="E22" s="3" t="s">
        <v>146</v>
      </c>
      <c r="F22" s="3" t="s">
        <v>147</v>
      </c>
      <c r="G22" s="4" t="s">
        <v>6</v>
      </c>
      <c r="H22" s="40">
        <v>45889</v>
      </c>
      <c r="I22" s="39">
        <v>8002</v>
      </c>
      <c r="J22" s="41">
        <v>1134</v>
      </c>
      <c r="K22" s="53" t="s">
        <v>56</v>
      </c>
      <c r="L22" s="26">
        <f t="shared" si="0"/>
        <v>2.4234234234234235</v>
      </c>
      <c r="M22" s="29">
        <f t="shared" si="1"/>
        <v>46103.159851301112</v>
      </c>
      <c r="N22" s="69" t="s">
        <v>98</v>
      </c>
    </row>
    <row r="23" spans="1:14" ht="15.75" x14ac:dyDescent="0.25">
      <c r="A23" s="8">
        <v>46008</v>
      </c>
      <c r="B23" s="6">
        <v>8403</v>
      </c>
      <c r="C23" s="6">
        <v>1061</v>
      </c>
      <c r="D23" s="6" t="s">
        <v>243</v>
      </c>
      <c r="E23" s="6" t="s">
        <v>142</v>
      </c>
      <c r="F23" s="6" t="s">
        <v>143</v>
      </c>
      <c r="G23" s="7" t="s">
        <v>6</v>
      </c>
      <c r="H23" s="10"/>
      <c r="I23" s="9"/>
      <c r="J23" s="5"/>
      <c r="K23" s="54"/>
      <c r="L23" s="25">
        <f t="shared" si="0"/>
        <v>2.3061206746652758E-2</v>
      </c>
      <c r="M23" s="29">
        <f t="shared" si="1"/>
        <v>56848.716305372291</v>
      </c>
      <c r="N23" s="69"/>
    </row>
    <row r="24" spans="1:14" ht="15.75" x14ac:dyDescent="0.25">
      <c r="A24" s="11">
        <v>46006</v>
      </c>
      <c r="B24" s="3">
        <v>8404</v>
      </c>
      <c r="C24" s="44">
        <v>104</v>
      </c>
      <c r="D24" s="44" t="s">
        <v>24</v>
      </c>
      <c r="E24" s="3" t="s">
        <v>279</v>
      </c>
      <c r="F24" s="3" t="s">
        <v>280</v>
      </c>
      <c r="G24" s="4" t="s">
        <v>6</v>
      </c>
      <c r="H24" s="40">
        <v>45812</v>
      </c>
      <c r="I24" s="39">
        <v>7760</v>
      </c>
      <c r="J24" s="41">
        <v>2.4</v>
      </c>
      <c r="K24" s="53" t="s">
        <v>90</v>
      </c>
      <c r="L24" s="26">
        <f t="shared" si="0"/>
        <v>0.52371134020618548</v>
      </c>
      <c r="M24" s="29">
        <f>+A24+(150/L24)</f>
        <v>46292.417322834648</v>
      </c>
      <c r="N24" s="69" t="s">
        <v>98</v>
      </c>
    </row>
    <row r="25" spans="1:14" ht="15.75" x14ac:dyDescent="0.25">
      <c r="A25" s="8">
        <v>46002</v>
      </c>
      <c r="B25" s="6">
        <v>8420</v>
      </c>
      <c r="C25" s="6">
        <v>631</v>
      </c>
      <c r="D25" s="6" t="s">
        <v>53</v>
      </c>
      <c r="E25" s="6" t="s">
        <v>35</v>
      </c>
      <c r="F25" s="6" t="s">
        <v>232</v>
      </c>
      <c r="G25" s="7" t="s">
        <v>6</v>
      </c>
      <c r="H25" s="10">
        <v>45945</v>
      </c>
      <c r="I25" s="9">
        <v>8198</v>
      </c>
      <c r="J25" s="5">
        <v>333</v>
      </c>
      <c r="K25" s="54" t="s">
        <v>73</v>
      </c>
      <c r="L25" s="26">
        <f t="shared" si="0"/>
        <v>5.2280701754385968</v>
      </c>
      <c r="M25" s="29">
        <f t="shared" si="1"/>
        <v>46049.818791946309</v>
      </c>
      <c r="N25" s="69" t="s">
        <v>306</v>
      </c>
    </row>
    <row r="26" spans="1:14" ht="15.75" x14ac:dyDescent="0.25">
      <c r="A26" s="11">
        <v>46015</v>
      </c>
      <c r="B26" s="3">
        <v>8424</v>
      </c>
      <c r="C26" s="44" t="s">
        <v>90</v>
      </c>
      <c r="D26" s="44" t="s">
        <v>218</v>
      </c>
      <c r="E26" s="3" t="s">
        <v>187</v>
      </c>
      <c r="F26" s="3" t="s">
        <v>188</v>
      </c>
      <c r="G26" s="4" t="s">
        <v>6</v>
      </c>
      <c r="H26" s="40" t="s">
        <v>90</v>
      </c>
      <c r="I26" s="39" t="s">
        <v>90</v>
      </c>
      <c r="J26" s="41" t="s">
        <v>90</v>
      </c>
      <c r="K26" s="53" t="s">
        <v>90</v>
      </c>
      <c r="L26" s="26" t="e">
        <f t="shared" si="0"/>
        <v>#VALUE!</v>
      </c>
      <c r="M26" s="29" t="e">
        <f t="shared" si="1"/>
        <v>#VALUE!</v>
      </c>
      <c r="N26" s="69" t="s">
        <v>98</v>
      </c>
    </row>
    <row r="27" spans="1:14" ht="15.75" x14ac:dyDescent="0.25">
      <c r="A27" s="8">
        <v>46009</v>
      </c>
      <c r="B27" s="6">
        <v>8427</v>
      </c>
      <c r="C27" s="6">
        <v>18131</v>
      </c>
      <c r="D27" s="6" t="s">
        <v>50</v>
      </c>
      <c r="E27" s="6" t="s">
        <v>79</v>
      </c>
      <c r="F27" s="6">
        <v>1711</v>
      </c>
      <c r="G27" s="7" t="s">
        <v>6</v>
      </c>
      <c r="H27" s="10">
        <v>45706</v>
      </c>
      <c r="I27" s="9">
        <v>7404</v>
      </c>
      <c r="J27" s="5">
        <v>17692</v>
      </c>
      <c r="K27" s="54" t="s">
        <v>73</v>
      </c>
      <c r="L27" s="26">
        <f t="shared" si="0"/>
        <v>1.4488448844884489</v>
      </c>
      <c r="M27" s="29">
        <f t="shared" si="1"/>
        <v>46181.551252847377</v>
      </c>
      <c r="N27" s="69" t="s">
        <v>98</v>
      </c>
    </row>
    <row r="28" spans="1:14" ht="15.75" x14ac:dyDescent="0.25">
      <c r="A28" s="11">
        <v>46009</v>
      </c>
      <c r="B28" s="3">
        <v>8428</v>
      </c>
      <c r="C28" s="44">
        <v>3500</v>
      </c>
      <c r="D28" s="44" t="s">
        <v>53</v>
      </c>
      <c r="E28" s="3" t="s">
        <v>79</v>
      </c>
      <c r="F28" s="3" t="s">
        <v>217</v>
      </c>
      <c r="G28" s="4" t="s">
        <v>6</v>
      </c>
      <c r="H28" s="40">
        <v>45883</v>
      </c>
      <c r="I28" s="39">
        <v>7982</v>
      </c>
      <c r="J28" s="41">
        <v>3265</v>
      </c>
      <c r="K28" s="53" t="s">
        <v>73</v>
      </c>
      <c r="L28" s="26">
        <f t="shared" si="0"/>
        <v>1.8650793650793651</v>
      </c>
      <c r="M28" s="29">
        <f t="shared" si="1"/>
        <v>46143.042553191488</v>
      </c>
      <c r="N28" s="69" t="s">
        <v>98</v>
      </c>
    </row>
    <row r="29" spans="1:14" ht="15.75" x14ac:dyDescent="0.25">
      <c r="A29" s="8">
        <v>46007</v>
      </c>
      <c r="B29" s="6">
        <v>8434</v>
      </c>
      <c r="C29" s="6">
        <v>1465</v>
      </c>
      <c r="D29" s="6" t="s">
        <v>96</v>
      </c>
      <c r="E29" s="6" t="s">
        <v>236</v>
      </c>
      <c r="F29" s="6" t="s">
        <v>237</v>
      </c>
      <c r="G29" s="7" t="s">
        <v>6</v>
      </c>
      <c r="H29" s="10">
        <v>45439</v>
      </c>
      <c r="I29" s="9">
        <v>6569</v>
      </c>
      <c r="J29" s="5">
        <v>1015</v>
      </c>
      <c r="K29" s="54" t="s">
        <v>56</v>
      </c>
      <c r="L29" s="26">
        <f t="shared" si="0"/>
        <v>0.79225352112676062</v>
      </c>
      <c r="M29" s="29">
        <f t="shared" si="1"/>
        <v>46322.555555555555</v>
      </c>
      <c r="N29" s="69" t="s">
        <v>98</v>
      </c>
    </row>
    <row r="30" spans="1:14" ht="15.75" x14ac:dyDescent="0.25">
      <c r="A30" s="11">
        <v>46015</v>
      </c>
      <c r="B30" s="3">
        <v>8476</v>
      </c>
      <c r="C30" s="44">
        <v>581</v>
      </c>
      <c r="D30" s="44" t="s">
        <v>53</v>
      </c>
      <c r="E30" s="3" t="s">
        <v>283</v>
      </c>
      <c r="F30" s="3" t="s">
        <v>287</v>
      </c>
      <c r="G30" s="4" t="s">
        <v>6</v>
      </c>
      <c r="H30" s="40">
        <v>45595</v>
      </c>
      <c r="I30" s="39">
        <v>7044</v>
      </c>
      <c r="J30" s="41">
        <v>262</v>
      </c>
      <c r="K30" s="53" t="s">
        <v>73</v>
      </c>
      <c r="L30" s="26">
        <f t="shared" si="0"/>
        <v>0.75952380952380949</v>
      </c>
      <c r="M30" s="29">
        <f t="shared" si="1"/>
        <v>46344.153605015672</v>
      </c>
      <c r="N30" s="69" t="s">
        <v>98</v>
      </c>
    </row>
    <row r="31" spans="1:14" ht="15.75" x14ac:dyDescent="0.25">
      <c r="A31" s="8">
        <v>46017</v>
      </c>
      <c r="B31" s="6">
        <v>8474</v>
      </c>
      <c r="C31" s="6"/>
      <c r="D31" s="6" t="s">
        <v>131</v>
      </c>
      <c r="E31" s="6" t="s">
        <v>58</v>
      </c>
      <c r="F31" s="6" t="s">
        <v>59</v>
      </c>
      <c r="G31" s="7" t="s">
        <v>6</v>
      </c>
      <c r="H31" s="10"/>
      <c r="I31" s="9"/>
      <c r="J31" s="5"/>
      <c r="K31" s="54"/>
      <c r="L31" s="26">
        <f t="shared" si="0"/>
        <v>0</v>
      </c>
      <c r="M31" s="29" t="e">
        <f t="shared" si="1"/>
        <v>#DIV/0!</v>
      </c>
      <c r="N31" s="69"/>
    </row>
    <row r="32" spans="1:14" ht="15.75" x14ac:dyDescent="0.25">
      <c r="A32" s="11">
        <v>46017</v>
      </c>
      <c r="B32" s="3">
        <v>8378</v>
      </c>
      <c r="C32" s="44">
        <v>2138</v>
      </c>
      <c r="D32" s="44" t="s">
        <v>73</v>
      </c>
      <c r="E32" s="3" t="s">
        <v>191</v>
      </c>
      <c r="F32" s="3" t="s">
        <v>192</v>
      </c>
      <c r="G32" s="4" t="s">
        <v>6</v>
      </c>
      <c r="H32" s="40">
        <v>45826</v>
      </c>
      <c r="I32" s="39">
        <v>7793</v>
      </c>
      <c r="J32" s="41">
        <v>1890</v>
      </c>
      <c r="K32" s="53" t="s">
        <v>56</v>
      </c>
      <c r="L32" s="26">
        <f t="shared" si="0"/>
        <v>1.2984293193717278</v>
      </c>
      <c r="M32" s="29">
        <f t="shared" si="1"/>
        <v>46209.540322580644</v>
      </c>
      <c r="N32" s="69" t="s">
        <v>98</v>
      </c>
    </row>
    <row r="33" spans="1:14" ht="15.75" x14ac:dyDescent="0.25">
      <c r="A33" s="8">
        <v>46013</v>
      </c>
      <c r="B33" s="6">
        <v>8432</v>
      </c>
      <c r="C33" s="6">
        <v>792</v>
      </c>
      <c r="D33" s="6" t="s">
        <v>50</v>
      </c>
      <c r="E33" s="6" t="s">
        <v>281</v>
      </c>
      <c r="F33" s="6" t="s">
        <v>282</v>
      </c>
      <c r="G33" s="7" t="s">
        <v>6</v>
      </c>
      <c r="H33" s="10">
        <v>45455</v>
      </c>
      <c r="I33" s="9">
        <v>6600</v>
      </c>
      <c r="J33" s="5">
        <v>545</v>
      </c>
      <c r="K33" s="54" t="s">
        <v>53</v>
      </c>
      <c r="L33" s="26">
        <f t="shared" si="0"/>
        <v>0.44265232974910396</v>
      </c>
      <c r="M33" s="29">
        <f t="shared" si="1"/>
        <v>46577.777327935226</v>
      </c>
      <c r="N33" s="69" t="s">
        <v>98</v>
      </c>
    </row>
  </sheetData>
  <mergeCells count="2">
    <mergeCell ref="A1:G1"/>
    <mergeCell ref="H1:L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2026-03-11T11:20:49Z</dcterms:modified>
</cp:coreProperties>
</file>